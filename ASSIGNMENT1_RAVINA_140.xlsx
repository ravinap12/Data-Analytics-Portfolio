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pivotTables/pivotTable2.xml" ContentType="application/vnd.openxmlformats-officedocument.spreadsheetml.pivotTab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data analytics\EXCEL\Cohort 140_Day 5 Excel\Cohort 140_Day 5 Excel\Assignment\"/>
    </mc:Choice>
  </mc:AlternateContent>
  <xr:revisionPtr revIDLastSave="0" documentId="13_ncr:1_{A2E80F9E-CB22-488B-9277-1EDAFBD85F4E}" xr6:coauthVersionLast="47" xr6:coauthVersionMax="47" xr10:uidLastSave="{00000000-0000-0000-0000-000000000000}"/>
  <workbookProtection workbookAlgorithmName="SHA-512" workbookHashValue="HyV3l9oMgCGdl1Sz4267Gwam3HoC1kdCbj7yQzBjAxvKqBxbuMd/ofV/v3K66mordx64hH7+HQK+9aqnwH6NRw==" workbookSaltValue="o6LBbnGiWO+fK/932R8PbA==" workbookSpinCount="100000" lockStructure="1"/>
  <bookViews>
    <workbookView xWindow="-108" yWindow="-108" windowWidth="23256" windowHeight="12456" tabRatio="654" firstSheet="18" activeTab="23" xr2:uid="{00000000-000D-0000-FFFF-FFFF00000000}"/>
  </bookViews>
  <sheets>
    <sheet name="PROJECT 1" sheetId="6" r:id="rId1"/>
    <sheet name="Orders" sheetId="1" r:id="rId2"/>
    <sheet name="Products" sheetId="2" r:id="rId3"/>
    <sheet name="Countries" sheetId="4" r:id="rId4"/>
    <sheet name="Warehouse Extension" sheetId="3" r:id="rId5"/>
    <sheet name="Summary Chart" sheetId="5" r:id="rId6"/>
    <sheet name="PROJECT 2" sheetId="7" r:id="rId7"/>
    <sheet name="Team Selector" sheetId="9" r:id="rId8"/>
    <sheet name="Beer Prices" sheetId="8" r:id="rId9"/>
    <sheet name="Price per Ounce" sheetId="10" r:id="rId10"/>
    <sheet name="PROJECT 3" sheetId="12" r:id="rId11"/>
    <sheet name="Indicators" sheetId="13" r:id="rId12"/>
    <sheet name="Region Summary" sheetId="14" r:id="rId13"/>
    <sheet name="PROJECT 4" sheetId="15" r:id="rId14"/>
    <sheet name="Inventory" sheetId="16" r:id="rId15"/>
    <sheet name="Order Tracker" sheetId="17" r:id="rId16"/>
    <sheet name="PROJECT 5" sheetId="18" r:id="rId17"/>
    <sheet name="Product Sales" sheetId="19" r:id="rId18"/>
    <sheet name="Sales by Store" sheetId="21" r:id="rId19"/>
    <sheet name="New Product" sheetId="20" r:id="rId20"/>
    <sheet name="PROJECT 6" sheetId="22" r:id="rId21"/>
    <sheet name="Van Collisions" sheetId="24" r:id="rId22"/>
    <sheet name="Taxi Collisions" sheetId="27" r:id="rId23"/>
    <sheet name="Monthly Trend" sheetId="29" r:id="rId24"/>
    <sheet name="Collision Causes" sheetId="28" r:id="rId25"/>
  </sheets>
  <definedNames>
    <definedName name="_xlnm._FilterDatabase" localSheetId="3" hidden="1">'Countries'!$A$1:$A$15</definedName>
    <definedName name="_xlnm._FilterDatabase" localSheetId="14" hidden="1">Inventory!$A$1:$I$101</definedName>
    <definedName name="_xlnm._FilterDatabase" localSheetId="1" hidden="1">Orders!$A$1:$I$201</definedName>
    <definedName name="_xlnm._FilterDatabase" localSheetId="17" hidden="1">'Product Sales'!$A$1:$G$87</definedName>
    <definedName name="_xlnm._FilterDatabase" localSheetId="2" hidden="1">Products!$A$1:$B$15</definedName>
    <definedName name="_xlnm._FilterDatabase" localSheetId="21" hidden="1">'Van Collisions'!$A$2:$E$230</definedName>
    <definedName name="_xlchart.v5.0" hidden="1">'Countries'!$A$1</definedName>
    <definedName name="_xlchart.v5.1" hidden="1">'Countries'!$A$2:$A$15</definedName>
    <definedName name="_xlchart.v5.2" hidden="1">'Countries'!$B$1</definedName>
    <definedName name="_xlchart.v5.3" hidden="1">'Countries'!$B$2:$B$15</definedName>
  </definedNames>
  <calcPr calcId="191029"/>
  <pivotCaches>
    <pivotCache cacheId="0" r:id="rId26"/>
    <pivotCache cacheId="1" r:id="rId27"/>
    <pivotCache cacheId="2" r:id="rId2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9" i="19" l="1"/>
  <c r="G88" i="19"/>
  <c r="F88" i="19"/>
  <c r="G86" i="19"/>
  <c r="F86" i="19"/>
  <c r="G84" i="19"/>
  <c r="F84" i="19"/>
  <c r="G80" i="19"/>
  <c r="F80" i="19"/>
  <c r="G68" i="19"/>
  <c r="F68" i="19"/>
  <c r="G64" i="19"/>
  <c r="F64" i="19"/>
  <c r="G23" i="19"/>
  <c r="F23" i="19"/>
  <c r="F89" i="19" s="1"/>
  <c r="B5" i="17"/>
  <c r="F2" i="1"/>
  <c r="G2"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B5" i="3"/>
  <c r="L2" i="1"/>
  <c r="F4" i="1"/>
  <c r="F3"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B8" i="20"/>
  <c r="C9" i="9" l="1"/>
  <c r="C8" i="9"/>
  <c r="C11" i="9" l="1"/>
</calcChain>
</file>

<file path=xl/sharedStrings.xml><?xml version="1.0" encoding="utf-8"?>
<sst xmlns="http://schemas.openxmlformats.org/spreadsheetml/2006/main" count="2775" uniqueCount="660">
  <si>
    <t>Country</t>
  </si>
  <si>
    <t>Quantity</t>
  </si>
  <si>
    <t>United Kingdom</t>
  </si>
  <si>
    <t>France</t>
  </si>
  <si>
    <t>Netherlands</t>
  </si>
  <si>
    <t>Germany</t>
  </si>
  <si>
    <t>Norway</t>
  </si>
  <si>
    <t>Switzerland</t>
  </si>
  <si>
    <t>Spain</t>
  </si>
  <si>
    <t>Portugal</t>
  </si>
  <si>
    <t>Italy</t>
  </si>
  <si>
    <t>Belgium</t>
  </si>
  <si>
    <t>Denmark</t>
  </si>
  <si>
    <t>Sweden</t>
  </si>
  <si>
    <t>Finland</t>
  </si>
  <si>
    <t>Austria</t>
  </si>
  <si>
    <t>Order Date</t>
  </si>
  <si>
    <t>Product ID</t>
  </si>
  <si>
    <t>Product Name</t>
  </si>
  <si>
    <t>Unit Price</t>
  </si>
  <si>
    <t>Revenue</t>
  </si>
  <si>
    <t>Client ID</t>
  </si>
  <si>
    <t>Orders</t>
  </si>
  <si>
    <t>Mortgage Payments</t>
  </si>
  <si>
    <t>Loan Balance</t>
  </si>
  <si>
    <t>Annual Interest Rate</t>
  </si>
  <si>
    <t>Term Length (yrs)</t>
  </si>
  <si>
    <t>Monthly Payment</t>
  </si>
  <si>
    <t>Grand Total</t>
  </si>
  <si>
    <t>Jan</t>
  </si>
  <si>
    <t>Feb</t>
  </si>
  <si>
    <t>Mar</t>
  </si>
  <si>
    <t>Apr</t>
  </si>
  <si>
    <t>May</t>
  </si>
  <si>
    <t>Jun</t>
  </si>
  <si>
    <t>Jul</t>
  </si>
  <si>
    <t>Aug</t>
  </si>
  <si>
    <t>Sep</t>
  </si>
  <si>
    <t>Oct</t>
  </si>
  <si>
    <t>Nov</t>
  </si>
  <si>
    <t>Dec</t>
  </si>
  <si>
    <t>Sum of Revenue</t>
  </si>
  <si>
    <t>Order #</t>
  </si>
  <si>
    <t>MLB Beer Prices</t>
  </si>
  <si>
    <t>Price:</t>
  </si>
  <si>
    <t>Team</t>
  </si>
  <si>
    <t>Nickname</t>
  </si>
  <si>
    <t>City</t>
  </si>
  <si>
    <t>Arizona Diamondbacks</t>
  </si>
  <si>
    <t>Diamondbacks</t>
  </si>
  <si>
    <t>Arizona</t>
  </si>
  <si>
    <t>Atlanta Braves</t>
  </si>
  <si>
    <t>Braves</t>
  </si>
  <si>
    <t>Atlanta</t>
  </si>
  <si>
    <t>Baltimore Orioles</t>
  </si>
  <si>
    <t>Orioles</t>
  </si>
  <si>
    <t>Baltimore</t>
  </si>
  <si>
    <t>Boston Red Sox</t>
  </si>
  <si>
    <t>Red Sox</t>
  </si>
  <si>
    <t>Boston</t>
  </si>
  <si>
    <t>Chicago Cubs</t>
  </si>
  <si>
    <t>Cubs</t>
  </si>
  <si>
    <t>Chicago</t>
  </si>
  <si>
    <t>Chicago White Sox</t>
  </si>
  <si>
    <t>White Sox</t>
  </si>
  <si>
    <t>Cincinnati Reds</t>
  </si>
  <si>
    <t>Reds</t>
  </si>
  <si>
    <t>Cincinnati</t>
  </si>
  <si>
    <t>Cleveland Indians</t>
  </si>
  <si>
    <t>Indians</t>
  </si>
  <si>
    <t>Cleveland</t>
  </si>
  <si>
    <t>Colorado Rockies</t>
  </si>
  <si>
    <t>Rockies</t>
  </si>
  <si>
    <t>Colorado</t>
  </si>
  <si>
    <t>Detroit Tigers</t>
  </si>
  <si>
    <t>Tigers</t>
  </si>
  <si>
    <t>Detroit</t>
  </si>
  <si>
    <t>Houston Astros</t>
  </si>
  <si>
    <t>Astros</t>
  </si>
  <si>
    <t>Houston</t>
  </si>
  <si>
    <t>Kansas City Royals</t>
  </si>
  <si>
    <t>Royals</t>
  </si>
  <si>
    <t>Kansas City</t>
  </si>
  <si>
    <t>Los Angeles Angels</t>
  </si>
  <si>
    <t>Angels</t>
  </si>
  <si>
    <t>Anaheim</t>
  </si>
  <si>
    <t>Los Angeles Dodgers</t>
  </si>
  <si>
    <t>Dodgers</t>
  </si>
  <si>
    <t>Los Angeles</t>
  </si>
  <si>
    <t>Miami Marlins</t>
  </si>
  <si>
    <t>Marlins</t>
  </si>
  <si>
    <t>Miami</t>
  </si>
  <si>
    <t>Milwaukee Brewers</t>
  </si>
  <si>
    <t>Brewers</t>
  </si>
  <si>
    <t>Milwaukee</t>
  </si>
  <si>
    <t>Minnesota Twins</t>
  </si>
  <si>
    <t>Twins</t>
  </si>
  <si>
    <t>Minnesota</t>
  </si>
  <si>
    <t>New York Mets</t>
  </si>
  <si>
    <t>Mets</t>
  </si>
  <si>
    <t>New York</t>
  </si>
  <si>
    <t>New York Yankees</t>
  </si>
  <si>
    <t>Yankees</t>
  </si>
  <si>
    <t>Oakland Athletics</t>
  </si>
  <si>
    <t>Athletics</t>
  </si>
  <si>
    <t>Oakland</t>
  </si>
  <si>
    <t>Philadelphia Phillies</t>
  </si>
  <si>
    <t>Phillies</t>
  </si>
  <si>
    <t>Philadelphia</t>
  </si>
  <si>
    <t>Pittsburgh Pirates</t>
  </si>
  <si>
    <t>Pirates</t>
  </si>
  <si>
    <t>Pittsburgh</t>
  </si>
  <si>
    <t>San Diego Padres</t>
  </si>
  <si>
    <t>Padres</t>
  </si>
  <si>
    <t>San Diego</t>
  </si>
  <si>
    <t>San Francisco Giants</t>
  </si>
  <si>
    <t>Giants</t>
  </si>
  <si>
    <t>San Francisco</t>
  </si>
  <si>
    <t>Seattle Mariners</t>
  </si>
  <si>
    <t>Mariners</t>
  </si>
  <si>
    <t>Seattle</t>
  </si>
  <si>
    <t>St. Louis Cardinals</t>
  </si>
  <si>
    <t>Cardinals</t>
  </si>
  <si>
    <t>St. Louis</t>
  </si>
  <si>
    <t>Tampa Bay Rays</t>
  </si>
  <si>
    <t>Rays</t>
  </si>
  <si>
    <t>Tampa</t>
  </si>
  <si>
    <t>Texas Rangers</t>
  </si>
  <si>
    <t>Rangers</t>
  </si>
  <si>
    <t>Arlington</t>
  </si>
  <si>
    <t>Toronto Blue Jays</t>
  </si>
  <si>
    <t>Blue Jays</t>
  </si>
  <si>
    <t>Toronto</t>
  </si>
  <si>
    <t>Washington Nationals</t>
  </si>
  <si>
    <t>Nationals</t>
  </si>
  <si>
    <t>Washington</t>
  </si>
  <si>
    <t>Size</t>
  </si>
  <si>
    <t>Price</t>
  </si>
  <si>
    <t>2013</t>
  </si>
  <si>
    <t>2014</t>
  </si>
  <si>
    <t>2015</t>
  </si>
  <si>
    <t>2016</t>
  </si>
  <si>
    <t>2018</t>
  </si>
  <si>
    <t>Change</t>
  </si>
  <si>
    <t>Region</t>
  </si>
  <si>
    <t>Afghanistan</t>
  </si>
  <si>
    <t>South Asia</t>
  </si>
  <si>
    <t>Albania</t>
  </si>
  <si>
    <t>Europe &amp; Central Asia</t>
  </si>
  <si>
    <t>Algeria</t>
  </si>
  <si>
    <t>Middle East &amp; North Africa</t>
  </si>
  <si>
    <t>Andorra</t>
  </si>
  <si>
    <t>Angola</t>
  </si>
  <si>
    <t>Sub-Saharan Africa</t>
  </si>
  <si>
    <t>Antigua and Barbuda</t>
  </si>
  <si>
    <t>Latin America &amp; Caribbean</t>
  </si>
  <si>
    <t>Argentina</t>
  </si>
  <si>
    <t>Armenia</t>
  </si>
  <si>
    <t>Australia</t>
  </si>
  <si>
    <t>East Asia &amp; Pacific</t>
  </si>
  <si>
    <t>Azerbaijan</t>
  </si>
  <si>
    <t>Bahrain</t>
  </si>
  <si>
    <t>Bangladesh</t>
  </si>
  <si>
    <t>Belarus</t>
  </si>
  <si>
    <t>Belize</t>
  </si>
  <si>
    <t>Benin</t>
  </si>
  <si>
    <t>Bhutan</t>
  </si>
  <si>
    <t>Bolivia</t>
  </si>
  <si>
    <t>Bosnia and Herzegovina</t>
  </si>
  <si>
    <t>Botswana</t>
  </si>
  <si>
    <t>Brazil</t>
  </si>
  <si>
    <t>Brunei Darussalam</t>
  </si>
  <si>
    <t>Bulgaria</t>
  </si>
  <si>
    <t>Burkina Faso</t>
  </si>
  <si>
    <t>Burundi</t>
  </si>
  <si>
    <t>Cabo Verde</t>
  </si>
  <si>
    <t>Cambodia</t>
  </si>
  <si>
    <t>Cameroon</t>
  </si>
  <si>
    <t>Canada</t>
  </si>
  <si>
    <t>North America</t>
  </si>
  <si>
    <t>Central African Republic</t>
  </si>
  <si>
    <t>Chad</t>
  </si>
  <si>
    <t>Chile</t>
  </si>
  <si>
    <t>China</t>
  </si>
  <si>
    <t>Colombia</t>
  </si>
  <si>
    <t>Comoros</t>
  </si>
  <si>
    <t>Congo, Dem. Rep.</t>
  </si>
  <si>
    <t>Congo, Rep.</t>
  </si>
  <si>
    <t>Costa Rica</t>
  </si>
  <si>
    <t>Cote d'Ivoire</t>
  </si>
  <si>
    <t>Croatia</t>
  </si>
  <si>
    <t>Cyprus</t>
  </si>
  <si>
    <t>Czech Republic</t>
  </si>
  <si>
    <t>Djibouti</t>
  </si>
  <si>
    <t>Dominica</t>
  </si>
  <si>
    <t>Dominican Republic</t>
  </si>
  <si>
    <t>Ecuador</t>
  </si>
  <si>
    <t>Egypt, Arab Rep.</t>
  </si>
  <si>
    <t>El Salvador</t>
  </si>
  <si>
    <t>Equatorial Guinea</t>
  </si>
  <si>
    <t>Estonia</t>
  </si>
  <si>
    <t>Eswatini</t>
  </si>
  <si>
    <t>Ethiopia</t>
  </si>
  <si>
    <t>Fiji</t>
  </si>
  <si>
    <t>Gabon</t>
  </si>
  <si>
    <t>Gambia, The</t>
  </si>
  <si>
    <t>Georgia</t>
  </si>
  <si>
    <t>Ghana</t>
  </si>
  <si>
    <t>Greece</t>
  </si>
  <si>
    <t>Grenada</t>
  </si>
  <si>
    <t>Guatemala</t>
  </si>
  <si>
    <t>Guinea</t>
  </si>
  <si>
    <t>Guinea-Bissau</t>
  </si>
  <si>
    <t>Guyana</t>
  </si>
  <si>
    <t>Haiti</t>
  </si>
  <si>
    <t>Honduras</t>
  </si>
  <si>
    <t>Hong Kong SAR, China</t>
  </si>
  <si>
    <t>Hungary</t>
  </si>
  <si>
    <t>Iceland</t>
  </si>
  <si>
    <t>India</t>
  </si>
  <si>
    <t>Indonesia</t>
  </si>
  <si>
    <t>Iraq</t>
  </si>
  <si>
    <t>Ireland</t>
  </si>
  <si>
    <t>Israel</t>
  </si>
  <si>
    <t>Jamaica</t>
  </si>
  <si>
    <t>Japan</t>
  </si>
  <si>
    <t>Jordan</t>
  </si>
  <si>
    <t>Kazakhstan</t>
  </si>
  <si>
    <t>Kenya</t>
  </si>
  <si>
    <t>Kiribati</t>
  </si>
  <si>
    <t>Korea, Rep.</t>
  </si>
  <si>
    <t>Kuwait</t>
  </si>
  <si>
    <t>Kyrgyz Republic</t>
  </si>
  <si>
    <t>Latvia</t>
  </si>
  <si>
    <t>Lebanon</t>
  </si>
  <si>
    <t>Lesotho</t>
  </si>
  <si>
    <t>Liberia</t>
  </si>
  <si>
    <t>Libya</t>
  </si>
  <si>
    <t>Lithuania</t>
  </si>
  <si>
    <t>Luxembourg</t>
  </si>
  <si>
    <t>Macao SAR, China</t>
  </si>
  <si>
    <t>Madagascar</t>
  </si>
  <si>
    <t>Malawi</t>
  </si>
  <si>
    <t>Malaysia</t>
  </si>
  <si>
    <t>Maldives</t>
  </si>
  <si>
    <t>Mali</t>
  </si>
  <si>
    <t>Malta</t>
  </si>
  <si>
    <t>Marshall Islands</t>
  </si>
  <si>
    <t>Mauritania</t>
  </si>
  <si>
    <t>Mauritius</t>
  </si>
  <si>
    <t>Mexico</t>
  </si>
  <si>
    <t>Moldova</t>
  </si>
  <si>
    <t>Mongolia</t>
  </si>
  <si>
    <t>Montenegro</t>
  </si>
  <si>
    <t>Morocco</t>
  </si>
  <si>
    <t>Mozambique</t>
  </si>
  <si>
    <t>Myanmar</t>
  </si>
  <si>
    <t>Namibia</t>
  </si>
  <si>
    <t>Nepal</t>
  </si>
  <si>
    <t>New Zealand</t>
  </si>
  <si>
    <t>Nicaragua</t>
  </si>
  <si>
    <t>Niger</t>
  </si>
  <si>
    <t>Nigeria</t>
  </si>
  <si>
    <t>North Macedonia</t>
  </si>
  <si>
    <t>Oman</t>
  </si>
  <si>
    <t>Pakistan</t>
  </si>
  <si>
    <t>Palau</t>
  </si>
  <si>
    <t>Panama</t>
  </si>
  <si>
    <t>Papua New Guinea</t>
  </si>
  <si>
    <t>Paraguay</t>
  </si>
  <si>
    <t>Peru</t>
  </si>
  <si>
    <t>Philippines</t>
  </si>
  <si>
    <t>Poland</t>
  </si>
  <si>
    <t>Puerto Rico</t>
  </si>
  <si>
    <t>Qatar</t>
  </si>
  <si>
    <t>Romania</t>
  </si>
  <si>
    <t>Russian Federation</t>
  </si>
  <si>
    <t>Rwanda</t>
  </si>
  <si>
    <t>Samoa</t>
  </si>
  <si>
    <t>Sao Tome and Principe</t>
  </si>
  <si>
    <t>Saudi Arabia</t>
  </si>
  <si>
    <t>Senegal</t>
  </si>
  <si>
    <t>Serbia</t>
  </si>
  <si>
    <t>Seychelles</t>
  </si>
  <si>
    <t>Sierra Leone</t>
  </si>
  <si>
    <t>Singapore</t>
  </si>
  <si>
    <t>Slovak Republic</t>
  </si>
  <si>
    <t>Slovenia</t>
  </si>
  <si>
    <t>Solomon Islands</t>
  </si>
  <si>
    <t>Somalia</t>
  </si>
  <si>
    <t>South Africa</t>
  </si>
  <si>
    <t>Sri Lanka</t>
  </si>
  <si>
    <t>St. Kitts and Nevis</t>
  </si>
  <si>
    <t>St. Lucia</t>
  </si>
  <si>
    <t>St. Vincent and the Grenadines</t>
  </si>
  <si>
    <t>Suriname</t>
  </si>
  <si>
    <t>Tajikistan</t>
  </si>
  <si>
    <t>Tanzania</t>
  </si>
  <si>
    <t>Thailand</t>
  </si>
  <si>
    <t>Timor-Leste</t>
  </si>
  <si>
    <t>Togo</t>
  </si>
  <si>
    <t>Tonga</t>
  </si>
  <si>
    <t>Trinidad and Tobago</t>
  </si>
  <si>
    <t>Tunisia</t>
  </si>
  <si>
    <t>Turkey</t>
  </si>
  <si>
    <t>Turkmenistan</t>
  </si>
  <si>
    <t>Turks and Caicos Islands</t>
  </si>
  <si>
    <t>Tuvalu</t>
  </si>
  <si>
    <t>Uganda</t>
  </si>
  <si>
    <t>Ukraine</t>
  </si>
  <si>
    <t>United Arab Emirates</t>
  </si>
  <si>
    <t>United States</t>
  </si>
  <si>
    <t>Uruguay</t>
  </si>
  <si>
    <t>Uzbekistan</t>
  </si>
  <si>
    <t>Vanuatu</t>
  </si>
  <si>
    <t>Vietnam</t>
  </si>
  <si>
    <t>Yemen, Rep.</t>
  </si>
  <si>
    <t>Zambia</t>
  </si>
  <si>
    <t>Zimbabwe</t>
  </si>
  <si>
    <t>Population</t>
  </si>
  <si>
    <t>Sum of Population</t>
  </si>
  <si>
    <t>Area</t>
  </si>
  <si>
    <t>Sum of Area</t>
  </si>
  <si>
    <t>Province</t>
  </si>
  <si>
    <t>Winery</t>
  </si>
  <si>
    <t>Variety</t>
  </si>
  <si>
    <t>Name</t>
  </si>
  <si>
    <t>US</t>
  </si>
  <si>
    <t>Cadence</t>
  </si>
  <si>
    <t>Bordeaux Red</t>
  </si>
  <si>
    <t>Cadence (2013) Coda</t>
  </si>
  <si>
    <t>Cadence (2012) Coda</t>
  </si>
  <si>
    <t>Cadence (2015) Coda</t>
  </si>
  <si>
    <t>Cadence (2014) Coda</t>
  </si>
  <si>
    <t>Loire Valley</t>
  </si>
  <si>
    <t>Henri Bourgeois</t>
  </si>
  <si>
    <t>Sauvignon Blanc</t>
  </si>
  <si>
    <t xml:space="preserve">Henri Bourgeois (2010) Jadis </t>
  </si>
  <si>
    <t xml:space="preserve">Henri Bourgeois (2012) Jadis </t>
  </si>
  <si>
    <t xml:space="preserve">Henri Bourgeois (2014) Jadis </t>
  </si>
  <si>
    <t>Burgundy</t>
  </si>
  <si>
    <t>Louis Latour</t>
  </si>
  <si>
    <t>Chardonnay</t>
  </si>
  <si>
    <t xml:space="preserve">Louis Latour (2009) Charmes </t>
  </si>
  <si>
    <t>Cadence (2013) Ciel du Cheval</t>
  </si>
  <si>
    <t xml:space="preserve">Louis Latour (2008) Genievres </t>
  </si>
  <si>
    <t>Pinot Noir</t>
  </si>
  <si>
    <t xml:space="preserve">Louis Latour (2009) En Chevret </t>
  </si>
  <si>
    <t xml:space="preserve">Louis Latour (2012) En Paradis </t>
  </si>
  <si>
    <t xml:space="preserve">Louis Latour (2014) En Paradis </t>
  </si>
  <si>
    <t xml:space="preserve">Louis Latour (2009) La Garenne </t>
  </si>
  <si>
    <t xml:space="preserve">Louis Latour (2009) Les Damodes </t>
  </si>
  <si>
    <t>Cadence (2012) Tapteil</t>
  </si>
  <si>
    <t>Cadence (2014) Tapteil</t>
  </si>
  <si>
    <t>Cadence (2013) Tapteil</t>
  </si>
  <si>
    <t>Cadence (2011) Tapteil</t>
  </si>
  <si>
    <t xml:space="preserve">Henri Bourgeois (2012) En Travertin </t>
  </si>
  <si>
    <t xml:space="preserve">Henri Bourgeois (2015) En Travertin </t>
  </si>
  <si>
    <t>Bordeaux</t>
  </si>
  <si>
    <t>Cheval Quancard</t>
  </si>
  <si>
    <t xml:space="preserve">Cheval Quancard (2010) Fleur de Roc </t>
  </si>
  <si>
    <t xml:space="preserve">Cheval Quancard (2015) Fleur du Roc </t>
  </si>
  <si>
    <t xml:space="preserve">Henri Bourgeois (2014) Les Baronnes </t>
  </si>
  <si>
    <t xml:space="preserve">Henri Bourgeois (2012) Les Baronnes </t>
  </si>
  <si>
    <t xml:space="preserve">Henri Bourgeois (2015) Les Baronnes </t>
  </si>
  <si>
    <t xml:space="preserve">Henri Bourgeois (2016) Les Baronnes </t>
  </si>
  <si>
    <t xml:space="preserve">Henri Bourgeois (2013) Les Baronnes </t>
  </si>
  <si>
    <t>Cheval Quancard (2009) Chai de Bordes</t>
  </si>
  <si>
    <t>Cheval Quancard (2010) Chai de Bordes</t>
  </si>
  <si>
    <t>Cheval Quancard (2012) Chai de Bordes</t>
  </si>
  <si>
    <t>Cheval Quancard (2014) Chai de Bordes</t>
  </si>
  <si>
    <t xml:space="preserve">Henri Bourgeois (2011) Etienne Henri </t>
  </si>
  <si>
    <t xml:space="preserve">Henri Bourgeois (2014) Etienne Henri </t>
  </si>
  <si>
    <t xml:space="preserve">Henri Bourgeois (2013) Etienne Henri </t>
  </si>
  <si>
    <t xml:space="preserve">Henri Bourgeois (2009) La Bourgeoise </t>
  </si>
  <si>
    <t xml:space="preserve">Henri Bourgeois (2014) La Bourgeoise </t>
  </si>
  <si>
    <t xml:space="preserve">Henri Bourgeois (2013) La Bourgeoise </t>
  </si>
  <si>
    <t xml:space="preserve">Henri Bourgeois (2012) La Bourgeoise </t>
  </si>
  <si>
    <t xml:space="preserve">Louis Latour (2014) Le Montrachet </t>
  </si>
  <si>
    <t xml:space="preserve">Louis Latour (2009) Les Chatelots </t>
  </si>
  <si>
    <t xml:space="preserve">Cheval Quancard (2015) Chai de Bordes </t>
  </si>
  <si>
    <t>Louis Latour (2008) Clos de Vougeot</t>
  </si>
  <si>
    <t>Louis Latour (2005) Clos de Vougeot</t>
  </si>
  <si>
    <t>Louis Latour (2010) Clos de Vougeot</t>
  </si>
  <si>
    <t>Louis Latour (2011) Clos de Vougeot</t>
  </si>
  <si>
    <t>Louis Latour (2014) Clos de Vougeot</t>
  </si>
  <si>
    <t xml:space="preserve">Louis Latour (2005) Domaine Latour </t>
  </si>
  <si>
    <t xml:space="preserve">Louis Latour (2015) Domaine Latour </t>
  </si>
  <si>
    <t xml:space="preserve">Henri Bourgeois (2015) Haute Victoire </t>
  </si>
  <si>
    <t xml:space="preserve">Henri Bourgeois (2014) Haute Victoire </t>
  </si>
  <si>
    <t xml:space="preserve">Henri Bourgeois (2011) Sancerre Jadis </t>
  </si>
  <si>
    <t xml:space="preserve">Louis Latour (2009) Les Demoiselles </t>
  </si>
  <si>
    <t xml:space="preserve">Louis Latour (2011) Les Demoiselles </t>
  </si>
  <si>
    <t xml:space="preserve">Louis Latour (2015) Les Demoiselles </t>
  </si>
  <si>
    <t>Louis Latour (2008) Batard-Montrachet</t>
  </si>
  <si>
    <t>Louis Latour (2015) Batard-Montrachet</t>
  </si>
  <si>
    <t>Louis Latour (2014) Batard-Montrachet</t>
  </si>
  <si>
    <t>Louis Latour (2009) Batard-Montrachet</t>
  </si>
  <si>
    <t xml:space="preserve">Cheval Quancard (2014) Fortin Plaisance </t>
  </si>
  <si>
    <t xml:space="preserve">Louis Latour (2012) Les Deux Moulins </t>
  </si>
  <si>
    <t xml:space="preserve">Cheval Quancard (2014) Monfort Bellevue </t>
  </si>
  <si>
    <t xml:space="preserve">Cheval Quancard (2009) Monfort Bellevue </t>
  </si>
  <si>
    <t>Louis Latour (2005) Morey-Saint-Denis</t>
  </si>
  <si>
    <t>Louis Latour (2015) Morey-Saint-Denis</t>
  </si>
  <si>
    <t>Louis Latour (2014) Morey-Saint-Denis</t>
  </si>
  <si>
    <t>Louis Latour (2015) Nuits-St.-Georges</t>
  </si>
  <si>
    <t>Louis Latour (2012) Nuits-St.-Georges</t>
  </si>
  <si>
    <t xml:space="preserve">Henri Bourgeois (2011) Sancerre d'Antan </t>
  </si>
  <si>
    <t xml:space="preserve">Henri Bourgeois (2012) Sancerre d'Antan </t>
  </si>
  <si>
    <t xml:space="preserve">Henri Bourgeois (2009) Sancerre d'Antan </t>
  </si>
  <si>
    <t xml:space="preserve">Louis Latour (2009) Charmes Chambertin </t>
  </si>
  <si>
    <t xml:space="preserve">Cheval Quancard (2010) Prestige de Bordes </t>
  </si>
  <si>
    <t xml:space="preserve">Louis Latour (2008) Charmes Premier Cru </t>
  </si>
  <si>
    <t xml:space="preserve">Louis Latour (2011) Epenots Premier Cru </t>
  </si>
  <si>
    <t xml:space="preserve">Louis Latour (2014) Epenots Premier Cru </t>
  </si>
  <si>
    <t xml:space="preserve">Louis Latour (2009) Les Quatre Journaux </t>
  </si>
  <si>
    <t xml:space="preserve">Louis Latour (2014) Les Quatre Journaux </t>
  </si>
  <si>
    <t xml:space="preserve">Louis Latour (2015) Les Quatre Journaux </t>
  </si>
  <si>
    <t xml:space="preserve">Louis Latour (2011) Morgeot Premier Cru </t>
  </si>
  <si>
    <t xml:space="preserve">Louis Latour (2010) Morgeot Premier Cru </t>
  </si>
  <si>
    <t xml:space="preserve">Louis Latour (2015) Morgeot Premier Cru </t>
  </si>
  <si>
    <t>Cadence (2011) Cara Mia</t>
  </si>
  <si>
    <t>Cadence (2013) Cara Mia</t>
  </si>
  <si>
    <t>Cadence (2014) Cara Mia</t>
  </si>
  <si>
    <t>Cadence (2012) Cara Mia</t>
  </si>
  <si>
    <t xml:space="preserve">Louis Latour (2011) Caradeux Premier Cru </t>
  </si>
  <si>
    <t xml:space="preserve">Henri Bourgeois (2008) Le M.D. de Bourgeois </t>
  </si>
  <si>
    <t>Canoe Ridge</t>
  </si>
  <si>
    <t>Merlot</t>
  </si>
  <si>
    <t>Canoe Ridge (2013) The Expedition</t>
  </si>
  <si>
    <t>Canoe Ridge (2014) The Expedition</t>
  </si>
  <si>
    <t>Order Tracker</t>
  </si>
  <si>
    <t>Purchase Date:</t>
  </si>
  <si>
    <t>Shipment Time (business days):</t>
  </si>
  <si>
    <t>Arrival Date:</t>
  </si>
  <si>
    <t>Order ID:</t>
  </si>
  <si>
    <t>555-123</t>
  </si>
  <si>
    <t>Stock On Hand</t>
  </si>
  <si>
    <t>Reorder Quantity</t>
  </si>
  <si>
    <t>Year</t>
  </si>
  <si>
    <t>Whole Bean/Teas</t>
  </si>
  <si>
    <t>Coffee beans</t>
  </si>
  <si>
    <t>Organic Beans</t>
  </si>
  <si>
    <t>Brazilian - Organic</t>
  </si>
  <si>
    <t>House blend Beans</t>
  </si>
  <si>
    <t>Our Old Time Diner Blend</t>
  </si>
  <si>
    <t>Espresso Beans</t>
  </si>
  <si>
    <t>Espresso Roast</t>
  </si>
  <si>
    <t>Primo Espresso Roast</t>
  </si>
  <si>
    <t>Gourmet Beans</t>
  </si>
  <si>
    <t>Columbian Medium Roast</t>
  </si>
  <si>
    <t>Premium Beans</t>
  </si>
  <si>
    <t>Jamacian Coffee River</t>
  </si>
  <si>
    <t>Civet Cat</t>
  </si>
  <si>
    <t>Organic Decaf Blend</t>
  </si>
  <si>
    <t>Green beans</t>
  </si>
  <si>
    <t>Guatemalan Sustainably Grown</t>
  </si>
  <si>
    <t>Loose Tea</t>
  </si>
  <si>
    <t>Herbal tea</t>
  </si>
  <si>
    <t>Lemon Grass</t>
  </si>
  <si>
    <t>Peppermint</t>
  </si>
  <si>
    <t>Black tea</t>
  </si>
  <si>
    <t>English Breakfast</t>
  </si>
  <si>
    <t>Earl Grey</t>
  </si>
  <si>
    <t>Green tea</t>
  </si>
  <si>
    <t>Serenity Green Tea</t>
  </si>
  <si>
    <t>Chai tea</t>
  </si>
  <si>
    <t>Traditional Blend Chai</t>
  </si>
  <si>
    <t>Morning Sunrise Chai</t>
  </si>
  <si>
    <t>Spicy Eye Opener Chai</t>
  </si>
  <si>
    <t>Packaged Chocolate</t>
  </si>
  <si>
    <t>Drinking Chocolate</t>
  </si>
  <si>
    <t>Dark chocolate</t>
  </si>
  <si>
    <t>Organic Chocolate</t>
  </si>
  <si>
    <t>Sustainably Grown Organic</t>
  </si>
  <si>
    <t>Chili Mayan</t>
  </si>
  <si>
    <t>Beverages</t>
  </si>
  <si>
    <t>Coffee</t>
  </si>
  <si>
    <t>Drip coffee</t>
  </si>
  <si>
    <t>Our Old Time Diner Blend Sm</t>
  </si>
  <si>
    <t>Our Old Time Diner Blend Rg</t>
  </si>
  <si>
    <t>Our Old Time Diner Blend Lg</t>
  </si>
  <si>
    <t>Organic brewed coffee</t>
  </si>
  <si>
    <t>Brazilian Sm</t>
  </si>
  <si>
    <t>Brazilian Rg</t>
  </si>
  <si>
    <t>Brazilian Lg</t>
  </si>
  <si>
    <t>Gourmet brewed coffee</t>
  </si>
  <si>
    <t>Columbian Medium Roast Sm</t>
  </si>
  <si>
    <t>Columbian Medium Roast Rg</t>
  </si>
  <si>
    <t>Columbian Medium Roast Lg</t>
  </si>
  <si>
    <t>Ethiopia Sm</t>
  </si>
  <si>
    <t>Ethiopia Rg</t>
  </si>
  <si>
    <t>Ethiopia Lg</t>
  </si>
  <si>
    <t>Premium brewed coffee</t>
  </si>
  <si>
    <t>Jamaican Coffee River Sm</t>
  </si>
  <si>
    <t>Jamaican Coffee River Rg</t>
  </si>
  <si>
    <t>Jamaican Coffee River Lg</t>
  </si>
  <si>
    <t>Barista Espresso</t>
  </si>
  <si>
    <t>Espresso shot</t>
  </si>
  <si>
    <t>Latte</t>
  </si>
  <si>
    <t>Latte Rg</t>
  </si>
  <si>
    <t>Cappuccino</t>
  </si>
  <si>
    <t>Cappuccino Lg</t>
  </si>
  <si>
    <t>Tea</t>
  </si>
  <si>
    <t>Brewed herbal tea</t>
  </si>
  <si>
    <t>Lemon Grass Rg</t>
  </si>
  <si>
    <t>Lemon Grass Lg</t>
  </si>
  <si>
    <t>Peppermint Rg</t>
  </si>
  <si>
    <t>Peppermint Lg</t>
  </si>
  <si>
    <t>Brewed Green tea</t>
  </si>
  <si>
    <t>Serenity Green Tea Rg</t>
  </si>
  <si>
    <t>Serenity Green Tea Lg</t>
  </si>
  <si>
    <t>Brewed Black tea</t>
  </si>
  <si>
    <t>English Breakfast Rg</t>
  </si>
  <si>
    <t>English Breakfast Lg</t>
  </si>
  <si>
    <t>Earl Grey Rg</t>
  </si>
  <si>
    <t>Earl Grey Lg</t>
  </si>
  <si>
    <t>Brewed Chai tea</t>
  </si>
  <si>
    <t>Traditional Blend Chai Rg</t>
  </si>
  <si>
    <t>Traditional Blend Chai Lg</t>
  </si>
  <si>
    <t>Morning Sunrise Chai Rg</t>
  </si>
  <si>
    <t>Morning Sunrise Chai Lg</t>
  </si>
  <si>
    <t>Spicy Eye Opener Chai Rg</t>
  </si>
  <si>
    <t>Spicy Eye Opener Chai Lg</t>
  </si>
  <si>
    <t>Hot chocolate</t>
  </si>
  <si>
    <t>Dark chocolate Rg</t>
  </si>
  <si>
    <t>Dark chocolate Lg</t>
  </si>
  <si>
    <t>Sustainably Grown Organic Rg</t>
  </si>
  <si>
    <t>Sustainably Grown Organic Lg</t>
  </si>
  <si>
    <t>Add-ons</t>
  </si>
  <si>
    <t>Flavours</t>
  </si>
  <si>
    <t>Regular syrup</t>
  </si>
  <si>
    <t>Carmel syrup</t>
  </si>
  <si>
    <t>Hazelnut syrup</t>
  </si>
  <si>
    <t>Sugar free syrup</t>
  </si>
  <si>
    <t>Sugar Free Vanilla syrup</t>
  </si>
  <si>
    <t>Food</t>
  </si>
  <si>
    <t>Bakery</t>
  </si>
  <si>
    <t>Pastry</t>
  </si>
  <si>
    <t>Croissant</t>
  </si>
  <si>
    <t>Scone</t>
  </si>
  <si>
    <t>Cranberry Scone</t>
  </si>
  <si>
    <t>Chocolate Croissant</t>
  </si>
  <si>
    <t>Ginger Scone</t>
  </si>
  <si>
    <t>Almond Croissant</t>
  </si>
  <si>
    <t>Biscotti</t>
  </si>
  <si>
    <t>Ginger Biscotti</t>
  </si>
  <si>
    <t>Hazelnut Biscotti</t>
  </si>
  <si>
    <t>Chocolate Chip Biscotti</t>
  </si>
  <si>
    <t>Oatmeal Scone</t>
  </si>
  <si>
    <t xml:space="preserve">Scottish Cream Scone </t>
  </si>
  <si>
    <t>Jumbo Savory Scone</t>
  </si>
  <si>
    <t>Merchandise</t>
  </si>
  <si>
    <t>Branded</t>
  </si>
  <si>
    <t>Clothing</t>
  </si>
  <si>
    <t>I Need My Bean! T-shirt</t>
  </si>
  <si>
    <t>Housewares</t>
  </si>
  <si>
    <t>I Need My Bean! Diner mug</t>
  </si>
  <si>
    <t>I Need My Bean! Latte cup</t>
  </si>
  <si>
    <t>Chocolate syrup</t>
  </si>
  <si>
    <t>Ouro Brasileiro shot</t>
  </si>
  <si>
    <t>Product Group</t>
  </si>
  <si>
    <t>Product Category</t>
  </si>
  <si>
    <t>Product Type</t>
  </si>
  <si>
    <t>Units Sold</t>
  </si>
  <si>
    <t>Total Sales</t>
  </si>
  <si>
    <t>Fixed Costs:</t>
  </si>
  <si>
    <t>Rocky Roast Premium Beans</t>
  </si>
  <si>
    <t>Variable Costs:</t>
  </si>
  <si>
    <t>Profit:</t>
  </si>
  <si>
    <t>Q1</t>
  </si>
  <si>
    <t>Q2</t>
  </si>
  <si>
    <t>Q3</t>
  </si>
  <si>
    <t>Q4</t>
  </si>
  <si>
    <t>Astoria Store</t>
  </si>
  <si>
    <t>Lower Manhattan Store</t>
  </si>
  <si>
    <t>Hell's Kitchen Store</t>
  </si>
  <si>
    <t>NYC Totals</t>
  </si>
  <si>
    <t>Units Sold:</t>
  </si>
  <si>
    <t>Date</t>
  </si>
  <si>
    <t>Time</t>
  </si>
  <si>
    <t>District</t>
  </si>
  <si>
    <t># of Persons Injured</t>
  </si>
  <si>
    <t>Collision Cause</t>
  </si>
  <si>
    <t>Vehicle</t>
  </si>
  <si>
    <t>Unsafe Speed</t>
  </si>
  <si>
    <t>Sedan</t>
  </si>
  <si>
    <t>Driver Inattention/Distraction</t>
  </si>
  <si>
    <t>Passing Too Closely</t>
  </si>
  <si>
    <t>Ambulance</t>
  </si>
  <si>
    <t>Unspecified</t>
  </si>
  <si>
    <t>Bike</t>
  </si>
  <si>
    <t>Unsafe Lane Changing</t>
  </si>
  <si>
    <t>Traffic Control Disregarded</t>
  </si>
  <si>
    <t>Fatigued/Drowsy</t>
  </si>
  <si>
    <t>View Obstructed/Limited</t>
  </si>
  <si>
    <t>Pedestrian/Bicyclist/Other Pedestrian Error/Confusion</t>
  </si>
  <si>
    <t>Brakes Defective</t>
  </si>
  <si>
    <t>Box Truck</t>
  </si>
  <si>
    <t>Backing Unsafely</t>
  </si>
  <si>
    <t>Oversized Vehicle</t>
  </si>
  <si>
    <t>Bus</t>
  </si>
  <si>
    <t>Following Too Closely</t>
  </si>
  <si>
    <t>Concrete Mixer</t>
  </si>
  <si>
    <t>Passing or Lane Usage Improper</t>
  </si>
  <si>
    <t>Dump</t>
  </si>
  <si>
    <t>Reaction to Uninvolved Vehicle</t>
  </si>
  <si>
    <t>E-Bike</t>
  </si>
  <si>
    <t>Pick-up Truck</t>
  </si>
  <si>
    <t>Other Vehicular</t>
  </si>
  <si>
    <t>Moped</t>
  </si>
  <si>
    <t>Failure to Yield Right-of-Way</t>
  </si>
  <si>
    <t>Pavement Slippery</t>
  </si>
  <si>
    <t>Alcohol Involvement</t>
  </si>
  <si>
    <t>Aggressive Driving/Road Rage</t>
  </si>
  <si>
    <t>Driverless/Runaway Vehicle</t>
  </si>
  <si>
    <t>Turning Improperly</t>
  </si>
  <si>
    <t>Driver Inexperience</t>
  </si>
  <si>
    <t>Station Wagon</t>
  </si>
  <si>
    <t>Outside Car Distraction</t>
  </si>
  <si>
    <t>Illnes</t>
  </si>
  <si>
    <t>Fell Asleep</t>
  </si>
  <si>
    <t>Taxi</t>
  </si>
  <si>
    <t>Trailer</t>
  </si>
  <si>
    <t>Van</t>
  </si>
  <si>
    <t>Sum of # of Persons Injured</t>
  </si>
  <si>
    <t>Van Collisions in NYC</t>
  </si>
  <si>
    <t>Passenger Distraction</t>
  </si>
  <si>
    <t>E-Scooter</t>
  </si>
  <si>
    <t>Taxi Collisions in NYC</t>
  </si>
  <si>
    <t>Month</t>
  </si>
  <si>
    <t>Collisions</t>
  </si>
  <si>
    <t>Injury %</t>
  </si>
  <si>
    <t>Price per Ounce</t>
  </si>
  <si>
    <t>Jumbo Bag Owls</t>
  </si>
  <si>
    <t>Space Frog</t>
  </si>
  <si>
    <t>Owl Doorstop</t>
  </si>
  <si>
    <t>First Aid Tin</t>
  </si>
  <si>
    <t>Bingo Set</t>
  </si>
  <si>
    <t>Photo Cube</t>
  </si>
  <si>
    <t>Local Cafe Mug</t>
  </si>
  <si>
    <t>Popcorn Holder</t>
  </si>
  <si>
    <t xml:space="preserve">Button Box </t>
  </si>
  <si>
    <t xml:space="preserve">Wicker Star </t>
  </si>
  <si>
    <t>Polkadot Pen</t>
  </si>
  <si>
    <t>Funky Diva Pen</t>
  </si>
  <si>
    <t>Bathroom Hook</t>
  </si>
  <si>
    <t xml:space="preserve">Sombrero </t>
  </si>
  <si>
    <t>Months</t>
  </si>
  <si>
    <t>Manhattan</t>
  </si>
  <si>
    <t>Brooklyn</t>
  </si>
  <si>
    <t>Bronx</t>
  </si>
  <si>
    <t>Queens</t>
  </si>
  <si>
    <t>Staten Island</t>
  </si>
  <si>
    <t>Sum of Population Density</t>
  </si>
  <si>
    <t>Whole Bean/Teas Total</t>
  </si>
  <si>
    <t>Beverages Total</t>
  </si>
  <si>
    <t>Add-ons Total</t>
  </si>
  <si>
    <t>Food Total</t>
  </si>
  <si>
    <t>Merchandise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</si>
</sst>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quot;$&quot;#,##0_);[Red]\(&quot;$&quot;#,##0\)"/>
    <numFmt numFmtId="165" formatCode="&quot;$&quot;#,##0.00_);[Red]\(&quot;$&quot;#,##0.00\)"/>
    <numFmt numFmtId="166" formatCode="yyyy\-mm\-dd;@"/>
    <numFmt numFmtId="167" formatCode="&quot;$&quot;#,##0.00"/>
    <numFmt numFmtId="168" formatCode="0.0%"/>
    <numFmt numFmtId="169" formatCode="&quot;$&quot;#,##0"/>
    <numFmt numFmtId="170" formatCode="yyyy/mm/dd;@"/>
    <numFmt numFmtId="171" formatCode="\$#,##0;[Red]\(\$#,##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i/>
      <sz val="11"/>
      <color theme="1"/>
      <name val="Calibri"/>
      <family val="2"/>
      <scheme val="minor"/>
    </font>
    <font>
      <b/>
      <sz val="20"/>
      <color theme="1"/>
      <name val="Calibri"/>
      <family val="2"/>
      <scheme val="minor"/>
    </font>
    <font>
      <b/>
      <sz val="14"/>
      <name val="Calibri"/>
      <family val="2"/>
      <scheme val="minor"/>
    </font>
    <font>
      <sz val="8"/>
      <name val="Calibri"/>
      <family val="2"/>
      <scheme val="minor"/>
    </font>
    <font>
      <b/>
      <sz val="14"/>
      <color theme="1"/>
      <name val="Calibri"/>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rgb="FFA8000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theme="3"/>
      </left>
      <right/>
      <top style="thin">
        <color theme="3"/>
      </top>
      <bottom/>
      <diagonal/>
    </border>
    <border>
      <left/>
      <right style="thin">
        <color theme="3"/>
      </right>
      <top style="thin">
        <color theme="3"/>
      </top>
      <bottom/>
      <diagonal/>
    </border>
    <border>
      <left style="thin">
        <color theme="3"/>
      </left>
      <right/>
      <top/>
      <bottom style="thin">
        <color theme="3"/>
      </bottom>
      <diagonal/>
    </border>
    <border>
      <left/>
      <right style="thin">
        <color theme="3"/>
      </right>
      <top/>
      <bottom style="thin">
        <color theme="3"/>
      </bottom>
      <diagonal/>
    </border>
    <border>
      <left/>
      <right/>
      <top/>
      <bottom style="medium">
        <color theme="5" tint="-0.249977111117893"/>
      </bottom>
      <diagonal/>
    </border>
    <border>
      <left style="medium">
        <color theme="0"/>
      </left>
      <right style="medium">
        <color theme="0"/>
      </right>
      <top style="medium">
        <color theme="0"/>
      </top>
      <bottom style="medium">
        <color theme="0"/>
      </bottom>
      <diagonal/>
    </border>
    <border>
      <left style="medium">
        <color theme="0"/>
      </left>
      <right style="medium">
        <color theme="0"/>
      </right>
      <top/>
      <bottom style="medium">
        <color theme="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2">
    <xf numFmtId="0" fontId="0" fillId="0" borderId="0" xfId="0"/>
    <xf numFmtId="0" fontId="0" fillId="0" borderId="0" xfId="0" applyAlignment="1">
      <alignment horizontal="center"/>
    </xf>
    <xf numFmtId="166" fontId="0" fillId="0" borderId="0" xfId="0" applyNumberFormat="1" applyAlignment="1">
      <alignment horizontal="center"/>
    </xf>
    <xf numFmtId="0" fontId="13" fillId="33" borderId="0" xfId="0" applyFont="1" applyFill="1" applyAlignment="1">
      <alignment horizontal="center"/>
    </xf>
    <xf numFmtId="0" fontId="18" fillId="0" borderId="0" xfId="0" applyFont="1" applyAlignment="1">
      <alignment horizontal="right"/>
    </xf>
    <xf numFmtId="168" fontId="0" fillId="0" borderId="0" xfId="0" applyNumberFormat="1"/>
    <xf numFmtId="169" fontId="0" fillId="0" borderId="0" xfId="0" applyNumberFormat="1"/>
    <xf numFmtId="0" fontId="18" fillId="0" borderId="10" xfId="0" applyFont="1" applyBorder="1" applyAlignment="1">
      <alignment horizontal="right"/>
    </xf>
    <xf numFmtId="0" fontId="0" fillId="0" borderId="10" xfId="0" applyBorder="1"/>
    <xf numFmtId="0" fontId="19" fillId="0" borderId="0" xfId="0" applyFont="1" applyAlignment="1">
      <alignment horizontal="right"/>
    </xf>
    <xf numFmtId="165" fontId="16" fillId="0" borderId="0" xfId="0" applyNumberFormat="1" applyFont="1"/>
    <xf numFmtId="0" fontId="0" fillId="0" borderId="0" xfId="0" pivotButton="1"/>
    <xf numFmtId="0" fontId="13" fillId="33" borderId="11" xfId="0" applyFont="1" applyFill="1" applyBorder="1" applyAlignment="1">
      <alignment horizontal="center"/>
    </xf>
    <xf numFmtId="0" fontId="13" fillId="33" borderId="12" xfId="0" applyFont="1" applyFill="1" applyBorder="1" applyAlignment="1">
      <alignment horizontal="center"/>
    </xf>
    <xf numFmtId="0" fontId="0" fillId="0" borderId="14" xfId="0" applyBorder="1" applyAlignment="1">
      <alignment horizontal="center"/>
    </xf>
    <xf numFmtId="0" fontId="20" fillId="0" borderId="0" xfId="0" applyFont="1"/>
    <xf numFmtId="0" fontId="0" fillId="0" borderId="15" xfId="0" applyBorder="1"/>
    <xf numFmtId="167" fontId="0" fillId="36" borderId="16" xfId="0" applyNumberFormat="1" applyFill="1" applyBorder="1" applyAlignment="1">
      <alignment horizontal="center"/>
    </xf>
    <xf numFmtId="0" fontId="13" fillId="37" borderId="0" xfId="0" applyFont="1" applyFill="1" applyAlignment="1">
      <alignment horizontal="center"/>
    </xf>
    <xf numFmtId="167" fontId="0" fillId="0" borderId="0" xfId="0" applyNumberFormat="1" applyAlignment="1">
      <alignment horizontal="center"/>
    </xf>
    <xf numFmtId="167" fontId="16" fillId="35" borderId="16" xfId="0" applyNumberFormat="1" applyFont="1" applyFill="1" applyBorder="1" applyAlignment="1">
      <alignment horizontal="center"/>
    </xf>
    <xf numFmtId="0" fontId="0" fillId="36" borderId="16" xfId="0" applyFill="1" applyBorder="1" applyAlignment="1">
      <alignment horizontal="center"/>
    </xf>
    <xf numFmtId="3" fontId="0" fillId="0" borderId="0" xfId="0" applyNumberFormat="1"/>
    <xf numFmtId="0" fontId="13" fillId="38" borderId="0" xfId="0" applyFont="1" applyFill="1" applyAlignment="1">
      <alignment horizontal="center"/>
    </xf>
    <xf numFmtId="0" fontId="13" fillId="39" borderId="0" xfId="0" applyFont="1" applyFill="1" applyAlignment="1">
      <alignment horizontal="center"/>
    </xf>
    <xf numFmtId="169" fontId="0" fillId="0" borderId="0" xfId="0" applyNumberFormat="1" applyAlignment="1">
      <alignment horizontal="center"/>
    </xf>
    <xf numFmtId="166" fontId="0" fillId="0" borderId="0" xfId="0" applyNumberFormat="1"/>
    <xf numFmtId="166" fontId="0" fillId="0" borderId="0" xfId="0" applyNumberFormat="1" applyAlignment="1">
      <alignment horizontal="right"/>
    </xf>
    <xf numFmtId="0" fontId="13" fillId="40" borderId="0" xfId="0" applyFont="1" applyFill="1" applyAlignment="1">
      <alignment horizontal="center"/>
    </xf>
    <xf numFmtId="0" fontId="16" fillId="0" borderId="0" xfId="0" applyFont="1"/>
    <xf numFmtId="0" fontId="19" fillId="0" borderId="0" xfId="0" applyFont="1" applyAlignment="1">
      <alignment horizontal="right" vertical="center"/>
    </xf>
    <xf numFmtId="165" fontId="0" fillId="42" borderId="16" xfId="0" applyNumberFormat="1" applyFill="1" applyBorder="1" applyAlignment="1">
      <alignment horizontal="center"/>
    </xf>
    <xf numFmtId="164" fontId="0" fillId="42" borderId="17" xfId="0" applyNumberFormat="1" applyFill="1" applyBorder="1" applyAlignment="1">
      <alignment horizontal="center"/>
    </xf>
    <xf numFmtId="169" fontId="16" fillId="0" borderId="0" xfId="0" applyNumberFormat="1" applyFont="1"/>
    <xf numFmtId="169" fontId="0" fillId="0" borderId="10" xfId="0" applyNumberFormat="1" applyBorder="1"/>
    <xf numFmtId="21" fontId="0" fillId="0" borderId="0" xfId="0" applyNumberFormat="1"/>
    <xf numFmtId="0" fontId="13" fillId="43" borderId="0" xfId="0" applyFont="1" applyFill="1" applyAlignment="1">
      <alignment horizontal="center"/>
    </xf>
    <xf numFmtId="3" fontId="0" fillId="0" borderId="0" xfId="0" applyNumberFormat="1" applyAlignment="1">
      <alignment horizontal="center"/>
    </xf>
    <xf numFmtId="168" fontId="0" fillId="0" borderId="0" xfId="0" applyNumberFormat="1" applyAlignment="1">
      <alignment horizontal="center"/>
    </xf>
    <xf numFmtId="0" fontId="0" fillId="34" borderId="16" xfId="0" applyFill="1" applyBorder="1" applyAlignment="1">
      <alignment horizontal="center"/>
    </xf>
    <xf numFmtId="0" fontId="0" fillId="0" borderId="13" xfId="0" applyBorder="1" applyAlignment="1">
      <alignment horizontal="center"/>
    </xf>
    <xf numFmtId="21" fontId="0" fillId="0" borderId="0" xfId="0" applyNumberFormat="1" applyAlignment="1">
      <alignment horizontal="center"/>
    </xf>
    <xf numFmtId="170" fontId="16" fillId="0" borderId="0" xfId="0" applyNumberFormat="1" applyFont="1"/>
    <xf numFmtId="171" fontId="21" fillId="41" borderId="16" xfId="0" applyNumberFormat="1" applyFont="1" applyFill="1" applyBorder="1" applyAlignment="1">
      <alignment horizontal="center" vertical="center"/>
    </xf>
    <xf numFmtId="0" fontId="13" fillId="33" borderId="0" xfId="0" applyFont="1" applyFill="1" applyAlignment="1">
      <alignment horizontal="center"/>
    </xf>
    <xf numFmtId="0" fontId="20" fillId="0" borderId="0" xfId="0" applyFont="1" applyAlignment="1">
      <alignment horizontal="center"/>
    </xf>
    <xf numFmtId="0" fontId="20" fillId="0" borderId="15" xfId="0" applyFont="1" applyBorder="1" applyAlignment="1">
      <alignment horizontal="center"/>
    </xf>
    <xf numFmtId="0" fontId="13" fillId="39" borderId="0" xfId="0" applyFont="1" applyFill="1" applyAlignment="1">
      <alignment horizontal="center"/>
    </xf>
    <xf numFmtId="0" fontId="19" fillId="0" borderId="0" xfId="0" applyFont="1" applyAlignment="1">
      <alignment horizontal="center"/>
    </xf>
    <xf numFmtId="0" fontId="13" fillId="40" borderId="16" xfId="0" applyFont="1" applyFill="1" applyBorder="1" applyAlignment="1">
      <alignment horizontal="center"/>
    </xf>
    <xf numFmtId="0" fontId="23" fillId="0" borderId="0" xfId="0" applyFont="1" applyAlignment="1">
      <alignment horizontal="center"/>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font>
        <b/>
        <i val="0"/>
        <color rgb="FFFFC000"/>
      </font>
    </dxf>
    <dxf>
      <font>
        <b/>
        <i val="0"/>
        <strike val="0"/>
        <color theme="1"/>
      </font>
      <fill>
        <patternFill>
          <bgColor rgb="FFFFC000"/>
        </patternFill>
      </fill>
    </dxf>
    <dxf>
      <numFmt numFmtId="3" formatCode="#,##0"/>
    </dxf>
    <dxf>
      <numFmt numFmtId="3" formatCode="#,##0"/>
    </dxf>
    <dxf>
      <numFmt numFmtId="0" formatCode="General"/>
    </dxf>
    <dxf>
      <font>
        <b/>
        <i val="0"/>
        <strike val="0"/>
        <condense val="0"/>
        <extend val="0"/>
        <outline val="0"/>
        <shadow val="0"/>
        <u val="none"/>
        <vertAlign val="baseline"/>
        <sz val="11"/>
        <color theme="0"/>
        <name val="Calibri"/>
        <family val="2"/>
        <scheme val="minor"/>
      </font>
      <fill>
        <patternFill patternType="solid">
          <fgColor indexed="64"/>
          <bgColor theme="9" tint="-0.249977111117893"/>
        </patternFill>
      </fill>
      <alignment horizontal="center" vertical="bottom" textRotation="0" wrapText="0" indent="0" justifyLastLine="0" shrinkToFit="0" readingOrder="0"/>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5" tint="-0.249977111117893"/>
        </patternFill>
      </fill>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bottom" textRotation="0" wrapText="0" indent="0" justifyLastLine="0" shrinkToFit="0" readingOrder="0"/>
    </dxf>
    <dxf>
      <numFmt numFmtId="167" formatCode="&quot;$&quot;#,##0.00"/>
      <alignment horizontal="center" vertical="bottom" textRotation="0" wrapText="0" indent="0" justifyLastLine="0" shrinkToFit="0" readingOrder="0"/>
    </dxf>
    <dxf>
      <numFmt numFmtId="167" formatCode="&quot;$&quot;#,##0.00"/>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yyyy\-mm\-dd;@"/>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bottom" textRotation="0" wrapText="0" indent="0" justifyLastLine="0" shrinkToFit="0" readingOrder="0"/>
    </dxf>
  </dxfs>
  <tableStyles count="0" defaultTableStyle="TableStyleMedium2" defaultPivotStyle="PivotStyleLight16"/>
  <colors>
    <mruColors>
      <color rgb="FFFF9999"/>
      <color rgb="FFA80000"/>
      <color rgb="FFD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[ASSIGNMENT1.xlsx]Summary Chart!PivotTable1</c:name>
    <c:fmtId val="4"/>
  </c:pivotSource>
  <c:chart>
    <c:autoTitleDeleted val="1"/>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 Chart'!$B$1</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'Summary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'Summary Chart'!$B$2:$B$14</c:f>
              <c:numCache>
                <c:formatCode>"$"#,##0</c:formatCode>
                <c:ptCount val="12"/>
                <c:pt idx="0">
                  <c:v>459.8</c:v>
                </c:pt>
                <c:pt idx="1">
                  <c:v>1306.6499999999999</c:v>
                </c:pt>
                <c:pt idx="2">
                  <c:v>299.10000000000002</c:v>
                </c:pt>
                <c:pt idx="3">
                  <c:v>139.5</c:v>
                </c:pt>
                <c:pt idx="4">
                  <c:v>202.1</c:v>
                </c:pt>
                <c:pt idx="5">
                  <c:v>1211.3999999999999</c:v>
                </c:pt>
                <c:pt idx="6">
                  <c:v>518.65000000000009</c:v>
                </c:pt>
                <c:pt idx="7">
                  <c:v>574.15000000000009</c:v>
                </c:pt>
                <c:pt idx="8">
                  <c:v>1161.72</c:v>
                </c:pt>
                <c:pt idx="9">
                  <c:v>504.09000000000003</c:v>
                </c:pt>
                <c:pt idx="10">
                  <c:v>678.42000000000007</c:v>
                </c:pt>
                <c:pt idx="11">
                  <c:v>117.9</c:v>
                </c:pt>
              </c:numCache>
            </c:numRef>
          </c:val>
          <c:smooth val="0"/>
          <c:extLst>
            <c:ext xmlns:c16="http://schemas.microsoft.com/office/drawing/2014/chart" uri="{C3380CC4-5D6E-409C-BE32-E72D297353CC}">
              <c16:uniqueId val="{00000000-B6ED-48A5-A6CD-7F16AEE9CE0E}"/>
            </c:ext>
          </c:extLst>
        </c:ser>
        <c:dLbls>
          <c:showLegendKey val="0"/>
          <c:showVal val="0"/>
          <c:showCatName val="0"/>
          <c:showSerName val="0"/>
          <c:showPercent val="0"/>
          <c:showBubbleSize val="0"/>
        </c:dLbls>
        <c:marker val="1"/>
        <c:smooth val="0"/>
        <c:axId val="212579024"/>
        <c:axId val="212581424"/>
      </c:lineChart>
      <c:catAx>
        <c:axId val="2125790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581424"/>
        <c:crosses val="autoZero"/>
        <c:auto val="1"/>
        <c:lblAlgn val="ctr"/>
        <c:lblOffset val="100"/>
        <c:noMultiLvlLbl val="0"/>
      </c:catAx>
      <c:valAx>
        <c:axId val="21258142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579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'Monthly Trend'!$B$1</c:f>
              <c:strCache>
                <c:ptCount val="1"/>
                <c:pt idx="0">
                  <c:v>Collisions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'Monthly Trend'!$A$2:$A$9</c:f>
              <c:strCache>
                <c:ptCount val="8"/>
                <c:pt idx="0">
                  <c:v>Jan</c:v>
                </c:pt>
                <c:pt idx="1">
                  <c:v>Feb</c:v>
                </c:pt>
                <c:pt idx="2">
                  <c:v>Mar</c:v>
                </c:pt>
                <c:pt idx="3">
                  <c:v>Apr</c:v>
                </c:pt>
                <c:pt idx="4">
                  <c:v>May</c:v>
                </c:pt>
                <c:pt idx="5">
                  <c:v>Jun</c:v>
                </c:pt>
                <c:pt idx="6">
                  <c:v>Jul</c:v>
                </c:pt>
                <c:pt idx="7">
                  <c:v>Aug</c:v>
                </c:pt>
              </c:strCache>
            </c:strRef>
          </c:cat>
          <c:val>
            <c:numRef>
              <c:f>'Monthly Trend'!$B$2:$B$9</c:f>
              <c:numCache>
                <c:formatCode>#,##0</c:formatCode>
                <c:ptCount val="8"/>
                <c:pt idx="0">
                  <c:v>9506</c:v>
                </c:pt>
                <c:pt idx="1">
                  <c:v>8986</c:v>
                </c:pt>
                <c:pt idx="2">
                  <c:v>7241</c:v>
                </c:pt>
                <c:pt idx="3">
                  <c:v>2598</c:v>
                </c:pt>
                <c:pt idx="4">
                  <c:v>3953</c:v>
                </c:pt>
                <c:pt idx="5">
                  <c:v>5012</c:v>
                </c:pt>
                <c:pt idx="6">
                  <c:v>6128</c:v>
                </c:pt>
                <c:pt idx="7">
                  <c:v>5716</c:v>
                </c:pt>
              </c:numCache>
            </c:numRef>
          </c:val>
          <c:extLst>
            <c:ext xmlns:c16="http://schemas.microsoft.com/office/drawing/2014/chart" uri="{C3380CC4-5D6E-409C-BE32-E72D297353CC}">
              <c16:uniqueId val="{00000000-BCE0-4BF6-A3D8-77296509E7C1}"/>
            </c:ext>
          </c:extLst>
        </c:ser>
        <c:dLbls>
          <c:showLegendKey val="0"/>
          <c:showVal val="0"/>
          <c:showCatName val="0"/>
          <c:showSerName val="0"/>
          <c:showPercent val="0"/>
          <c:showBubbleSize val="0"/>
        </c:dLbls>
        <c:gapWidth val="219"/>
        <c:overlap val="-27"/>
        <c:axId val="85544223"/>
        <c:axId val="168709087"/>
      </c:barChart>
      <c:lineChart>
        <c:grouping val="standard"/>
        <c:varyColors val="0"/>
        <c:ser>
          <c:idx val="1"/>
          <c:order val="1"/>
          <c:tx>
            <c:strRef>
              <c:f>'Monthly Trend'!$C$1</c:f>
              <c:strCache>
                <c:ptCount val="1"/>
                <c:pt idx="0">
                  <c:v>Injury %</c:v>
                </c:pt>
              </c:strCache>
            </c:strRef>
          </c:tx>
          <c:spPr>
            <a:ln w="31750" cap="rnd">
              <a:solidFill>
                <a:schemeClr val="accent2"/>
              </a:solidFill>
              <a:round/>
            </a:ln>
            <a:effectLst/>
          </c:spPr>
          <c:marker>
            <c:symbol val="none"/>
          </c:marker>
          <c:cat>
            <c:strRef>
              <c:f>'Monthly Trend'!$A$2:$A$9</c:f>
              <c:strCache>
                <c:ptCount val="8"/>
                <c:pt idx="0">
                  <c:v>Jan</c:v>
                </c:pt>
                <c:pt idx="1">
                  <c:v>Feb</c:v>
                </c:pt>
                <c:pt idx="2">
                  <c:v>Mar</c:v>
                </c:pt>
                <c:pt idx="3">
                  <c:v>Apr</c:v>
                </c:pt>
                <c:pt idx="4">
                  <c:v>May</c:v>
                </c:pt>
                <c:pt idx="5">
                  <c:v>Jun</c:v>
                </c:pt>
                <c:pt idx="6">
                  <c:v>Jul</c:v>
                </c:pt>
                <c:pt idx="7">
                  <c:v>Aug</c:v>
                </c:pt>
              </c:strCache>
            </c:strRef>
          </c:cat>
          <c:val>
            <c:numRef>
              <c:f>'Monthly Trend'!$C$2:$C$9</c:f>
              <c:numCache>
                <c:formatCode>0.0%</c:formatCode>
                <c:ptCount val="8"/>
                <c:pt idx="0">
                  <c:v>0.21992020718135369</c:v>
                </c:pt>
                <c:pt idx="1">
                  <c:v>0.22193802981584332</c:v>
                </c:pt>
                <c:pt idx="2">
                  <c:v>0.21524825902143438</c:v>
                </c:pt>
                <c:pt idx="3">
                  <c:v>0.24562682215743439</c:v>
                </c:pt>
                <c:pt idx="4">
                  <c:v>0.30476500243942106</c:v>
                </c:pt>
                <c:pt idx="5">
                  <c:v>0.35596113445378152</c:v>
                </c:pt>
                <c:pt idx="6">
                  <c:v>0.34731707317073168</c:v>
                </c:pt>
                <c:pt idx="7">
                  <c:v>0.35006287870126901</c:v>
                </c:pt>
              </c:numCache>
            </c:numRef>
          </c:val>
          <c:smooth val="0"/>
          <c:extLst>
            <c:ext xmlns:c16="http://schemas.microsoft.com/office/drawing/2014/chart" uri="{C3380CC4-5D6E-409C-BE32-E72D297353CC}">
              <c16:uniqueId val="{00000001-BCE0-4BF6-A3D8-77296509E7C1}"/>
            </c:ext>
          </c:extLst>
        </c:ser>
        <c:dLbls>
          <c:showLegendKey val="0"/>
          <c:showVal val="0"/>
          <c:showCatName val="0"/>
          <c:showSerName val="0"/>
          <c:showPercent val="0"/>
          <c:showBubbleSize val="0"/>
        </c:dLbls>
        <c:marker val="1"/>
        <c:smooth val="0"/>
        <c:axId val="160189967"/>
        <c:axId val="160187567"/>
      </c:lineChart>
      <c:catAx>
        <c:axId val="855442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8709087"/>
        <c:crosses val="autoZero"/>
        <c:auto val="1"/>
        <c:lblAlgn val="ctr"/>
        <c:lblOffset val="100"/>
        <c:noMultiLvlLbl val="0"/>
      </c:catAx>
      <c:valAx>
        <c:axId val="168709087"/>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544223"/>
        <c:crosses val="autoZero"/>
        <c:crossBetween val="between"/>
      </c:valAx>
      <c:valAx>
        <c:axId val="160187567"/>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0189967"/>
        <c:crosses val="max"/>
        <c:crossBetween val="between"/>
      </c:valAx>
      <c:catAx>
        <c:axId val="160189967"/>
        <c:scaling>
          <c:orientation val="minMax"/>
        </c:scaling>
        <c:delete val="1"/>
        <c:axPos val="b"/>
        <c:numFmt formatCode="General" sourceLinked="1"/>
        <c:majorTickMark val="none"/>
        <c:minorTickMark val="none"/>
        <c:tickLblPos val="nextTo"/>
        <c:crossAx val="160187567"/>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49134211-D55D-4EAC-9AB5-40059E721F98}">
          <cx:dataLabels>
            <cx:visibility seriesName="0" categoryName="0" value="1"/>
          </cx:dataLabels>
          <cx:dataId val="0"/>
          <cx:layoutPr>
            <cx:geography cultureLanguage="en-US" cultureRegion="IN" attribution="Powered by Bing">
              <cx:geoCache provider="{E9337A44-BEBE-4D9F-B70C-5C5E7DAFC167}">
                <cx:binary>zHzZcty4su2vdPj5Uo152LH7RByQVZosWbY8vzBkWeYEEiRBcPr6m+VpSyW11B3HEb314A6zzEpg
IZG5cmWq/309/+va3lz1v821bfy/ruc/nuXD0P7r99/9dX5TX/mDurjunXdfhoNrV//uvnwprm9+
/9xfTUWT/U4QZr9f51f9cDM/+59/w7dlN+65u74aCte8DDf98urGBzv4Rz578KPfrl1oht3rGXzT
H8/+N/ihL66e/XbTDMWwvF7amz+e3fk3z377ff+b7ln9zcLChvAZ3mXygCuJJGLy2W/WNdn355gd
YIa0UpSjrz/4h83zqxre+wsL+bqMq8+f+xvvf/v+31sv3ln1reeFd/G3Tcdut8L/ff11S7/fBfV/
/r33ADa59+QW7vuIPPXRPuzb/qq5vvmBwC9AXRwIwhTS5C7q5IBxRaVQUn//+WHzG+pPr+Nh0H+8
t4f5j8f7kG9f/fOQmxubFaH+sf//O+YcHQjwaP4T3LvQswMhMFFcqW/+jugP09+g/wvreRj7ny/u
gf/z+T76ZvPPo5/cNPVVX/2A4Begzw80EUJhTr7hS+6EG3WgNVZC6z3U/8I6Hkb954t7qP98vo96
cvrPo74tGnvVfP51qAt6QJiQUvDvXn0XdbI7FKQxF999fi/I/4X1PIz+zxf30P/5fB/97fE/j/7x
cGWXX4c9oweccM6RYt/QBXBvJ1hygL/C/iPe7GH/5GoeRv77a3u4f3+6j/rxf0FqPbzp66vmF+LO
8QG4tFZSoG859G6cx+iAKqSQ/BHo93D/C+t5GPmfL+5h//P5PvrJf0GcP78Z8pt+F3T8r/N8TiDq
cMEkI99OQN3xfA7cR2impX440/7FNT18Cnde3juJO5/tn8b5838+Ap27frr6lVdBH2hMKUXg719/
9kIQOpBUaaHhfL7VE9+oztPL+BPsvy9/H/bvj+8h/uKfR/zC9UPIruwPAP7vRIfqA6EI1pLfjTuR
PNDwATB7+p3aw+e3Uf8rS3kY9/+8uYf8fz7Yx/7ivyDyX7ZXRfMDg/878AwCu0YYCfwd37tRJ4J0
zBkFko+/h529wP/kch4G//tre8h/f7oP++byn3f5y+nm880vxJ2Dw0uI5oQ/GO1BSADKD3WV5N/P
5ceRfws2Ty/nT3D/vo194L8/3kf+8r8g2V5OxbB+y7Y/MPgFbi8OFMLkq+t/dWyooG7RTHVAKNKC
iR/o70Wdv7imPzuDWxu6dxC3Pts/jfjon78Hb5piuPn82ynod5/dr9QZ6IFmVFE4km8/e3GIQBxC
wI7Qd2ENQU12Ow/89XU9fCj77++dy/7H+0dzaH7F0fy5FPdTjEyuhqvNVxXzlhr3+KdfNwzK6t6r
3+F78C59Q/b48x/PBMT7n9Lo7hvuoP5TF7j7ws2VH/54hvkB5hyIEuQWyZGWcImmm90n6gAKCThp
BsoSlpDg4bAb4BT5H8+4PJCcwGeESAJ0l8A5exe+fgQxkWsIl0wo+AMz/FM0vnB2yVzzE4fvf/+t
CfWFK5rBwxc/+6399q++bktrUAy1AEuESSDdGJbQXl+9Ar+Gf4z/n2uqaC6LdYon11OjO10k6dB2
m6Xo3Ld7+E1afcCUvm8KFBwGVhAGYqlgS7dNVYVMVxb8HBMa5QbMkW2x+Or5LMfmeY6y9nDqa/um
bHt12BZjfnzrSB4wT9kD9iXllICgoRWgftd+mPIlrbN1iAtWZfkFJrnakFkValvSselMVNQjAwiW
vIwzLDoZ53mGLyUd5XVWyvSCMN3LpLcLqk1Z8U6bFfey26ZVVOMtWcu6OZS4nL50UyfLpBF5l8ed
Akj7yNZ5XI6OTCbvu+bLnLrVmpqUEpts6vLXO6KdxT3r0k+ZXMZ348jJG+Sj5kyPSzRspsbmbx4H
BGPwvP3DVxKKLcr47kTEzjluHf7SorQXSznEU6FRbgJi5KoZuSzM0vK6NlEp2DtkCb6yXhCaSIWL
ybSuRZkRK+0+r/VEiCnzlG+j3GYi8UXWXns8t9Losa3TmDelksZmGS8PbR3oNZ4Jx4cZr4bX6UCm
PMlLaz/xkHd2G42qn4/U0Lr3c1DUxYVIl1e8q/vK9Cqfg5lFVNpEq364LsMyv/aV9PUmgl1M53gJ
+fk4+46ceNbm/EWehrLaolrW/hh1vBlhQ3O9mlq3IiSzIEO/qSYtFtP3LO+TvC5mGeuqGa6QRXVl
GrFgd+wDkeJsVU5GifdUfUxxp6ojJ/Op3eRjj9dt0c9SJjjVhUyaNQyXgrMsu6BNOZM47VR+JXtJ
xBFxhM+Hk5zrMRa99MR436zdphpS2prWcz8kaC1YF+d9gaqk5IViZmUrF6ZbRxaCoY0OLF7GGXXJ
sE4VfT5GqZanPk19F6dM2FeF0AXayDlqcEJCNoWEKdvLowLPmlzDhgU/XVItUCyZzIqXVarkdJZm
kU63a6HaYluUI7ZbC15RxxVqiD1OKbU2ScfKk83QEt28KHG5VsbVJRkSnk+WJrbE/QsimtUl1MpJ
xxP3jTA8HX36KawsL7ZsoDKL4ZCW1ZRRJ7pknTTLE1lpuhjU1GpKdFX27YYFO22jKp2LLVoUGpPH
nf+hYATVq8KSCuD9HOL7bdf3JV+qEYUhzpzUhyLHLPHCdy8qTMbVhGmYN+sYue2IytYoG9Ivj9sX
96+eBo0Dgc4E/EruksJt+wOOssIqO8ZtmTWboXfslPhQnBBW40OHdflNcfjT4IsfCPSaYyWJguaR
UByY3m2DosuxazEL8dRMzgxMDHE/N/1p0Tt1Fbq5P0rJypKBz2WydCM6tl1LP7mpcst2XrAwdZna
7cojekqjMpPfmMCfr28X/e8mIoaIYpojkHYIo+ju+kiN9Nx1doi7KHUXTi/8MNCSbSZUjdZkc4Hj
Mpvzo2aspTZuJjimA1u3ro6GQx8i9ES2up8tIFcjqPo46IGSor3E2ES+QZgGFPuadSQeyynTRi5l
HT/uCA8EYQ78gEE+0pIp0Hzvbhy3FZ+QWlCcu2m8yG3pyw2EM1qamnl5E81uKcxcggxvUJ/32KxL
AamaidxZg8NULknVL9P7jq8Ub4PoO5TIiNnDOvJpnQRXc//Emu87L8eCUijbKCADJOTukhUH/WJM
d0se1/YTps4fpnNabwvZ5JfFGrHDJzDaHf5/nEMiBJ1NIgiCMhHUKLiwdw1GsnIhiwiKx8iyt13K
tDBFL6YQq2ylieimJj+ssc1elLqq3k5TT4WZOh9tH1/IXacA3gLMBVGMFRAZJL5SuduXKF95i1tc
djFT0fTSKkUMGqvl9eNW8ENmQIjYyf9fG457voenqWXlWHSxg8DfGJw3+rLuavGqCHa5DqxNt4Pv
1zd1a8fnadYQEs+oKZFhpaiqbYSVw0du7q6ysDbFEzf1buTcYcA09PYpI0RBZb5rut3GoFUl8SzN
u7if6vS44yrazBbnh001vslCVW4UG3GSdlV+ipbRXz6OzUPW8U6C50IgkA72SGTRE5+xINpYrgPO
NoN1k3FVEa1myTOfrLOLzqqRTHWCWxQ2vVynj4+v4C5p+rZ/QggC14fAzcVuhbdIE8xD5EDywAfG
pmzWeGhTPJmh7OYL1wpr0tIWR2Tx4+Zxs/hugNzZ5YgJIP4coiT7qhDetks7J0jfTm3MSuqKTQqt
0jc264AajTSrzoCryU3kHX7Ba1HyuJnzad4WvKhs4rhd261APJ+Tx1d1NxJ8XZSE7AWJVHMNiv1e
1AYfQdTSKMRrakcjWTYcBzSHt8yy9XTMe/XucXs7z78dCAAEBfzwa1Ny54O7m3MLfDqvZI0qyGK4
oTqpoohvKlxZE/VquKxbqTbY5cs2dVo8gf/9O7mzTKFK2lUPRO6FoBXbxqqKhrgrgSpmPK02qZzt
E5F1L01/BVRBiQRBTgOuHO8BOsEIguVdP8a2zeujzBbpGe1pFXcBN6+Dlf0u130KHsstq31k8kJm
b/SQoTO2YH3ia1cdlz1rrvjI1RN3D1SG+/BjaPhCABBYaKT2WEtwgfhFiy727XSRdVS9LKLZt6ZB
Nhig330ibTsYsg4jELhzHuqNruqEl9Ghyqu5ikVZVqeul7w3GZSIyFDaQ3qjayo6g+0grmvihiL2
OYtc0mYllUle4fy9yLkuN9YDfW7T1h6C468XLNPvygxlz6Gdh9NNFamcQhVTSEij3A4GaG/4wnOd
v2fR3JemGfJi3SDe+iyuPeqbbTO3y3WUp12+GSZFjqfA6zlZ62Gck7QiadI3gkNIU0v7gXUTehG1
WNWmzsXYmaEB46fVqNY6ZhqPMkFDWrwg0VTmxreYHCPXan8MnLl1hsCIw2RU1fLLyekpjcPUldj0
LCVZ3CzLGBkkxdgAca9pf9gUePAnyzIP27pw2CZAn9WXNVNoNfM06DcCBz2ZDgq3Ocl8NXvDh66/
IWku65jymq9Ja6PipCk9sOksatbEjmF4PXPq3tu08Dcqo90az7xueMJ9X97kGEqAY/BNpgz1y8jN
0s/TJ6BtRW9WYESvEcvqeStWbfsjuPiTMiVKq2xbKpJGBju8vGiCxTdBzfMnhfP8HIrjkb6Gzei3
o28qKAEKz85ChBsoix3JC1MUzk1ARgmt4zoKujDpUFdVTGY0VBshXYNNm0EMM1O7wsogM3Tq3La0
eF9boZeE4AUOdEB51ZohDX2XzCTXh6uQTRG7ttXJjJtljVPM6XHTW7mafgkWvg/quM9LqNa3LIV4
asaJp8dz53FpomkZcFy1y9jHHY80nJ/15VvllnBVjoNmMS0R+kCAl36GMmLpkoDr9YuoZPY+r/Kh
SSo04/l4sQunJo8a+rqPqu6DCxN66aAF9DKyE7IJWmh5Ursya03VAOYx0ZOeQTtY5/NhXJ2Po5Yu
8hj2Ja+x4lYbXcsK7phj9IRXSqSHULNA9d47GvoNaXk2nmZshPIwEl6RQz9HWbYdoRLySZ1XIk3G
oapGs/DCQeFZzfNxqfKWG7tEFLYRFCpOqKj6KinGKoBvph0bIMDnUJZi4borUVeDj7lM2ykGRYCA
Q7YO4Xhs5+4Ls3N+pRxt+5jPa1DxUlRq3NQouNZkI0hQgGToq03ls6BOll4wG3dVFR2PC8mjuMrt
UpoB8vynNGLrbOTaifYEdt7O52HhGT6s8gWIV6CIgxrTziVKhhSn2IwrhdrdQD4o/SFrfe0NMO8W
xdUgmE9CipbmsPDgJ6aKfEa3ljgNjj048h4K9qmMVZHS8wqcdTY9GkR9RMSIhqQfStFu0hWlJGGN
oq91qIfMyKzS5w7OSCVQR6PWjHC5WzjBYnjeRa7ySSaakZquZAq+sM7I+6xQVWE6rtsOaqlSvJ28
JWMihgBSkW3S8j2j1i1GRipExxXX8mPrhihNSu3w9SyG9mU0djAEGaJFisOoiDSc+ZI2p/2a5fUG
5Bf5yom+sHGkGrhKdqD6A4mo+jJonb6vebO+drUNO1zn3bWj2r9elpXAutdWNRs8R5obXmSQYbxU
0QfMM6BbA600kJuc04sMF2u9hTTIhyNCMTkbMtaqjVgBmg1vrYynduxARGhH9kpzO/NE9sqvCTDS
LjekCtNlu0B6MW7EftmwpQzIEMJ7cJB1rJ8XBeYteOyQtwb2jU4p6taLcS7sJUJTs5jW0tSaaug5
yDg2z9yRLmFmNQ6I0HmjeBsd0aEZ89jPAp+3rqTzFlSg7AivO89vfJl95phlNp6rGZ0U4BE6qW2P
2RleGJRVeqh1iGU6RtFWDQKIlrcMqtDKry+jiTQ3aKXlO/gG9sVHaZiScu6aD6ruJ23sWhVFUqQF
aiDHFW2eLIq5BOUiawzNEYWI5xv+amI8p6fziEgSoB/QvFCkHdLYdRSkQtRr8WpOu+Vt2cyjjKGs
n9+N1s3tyeLBWY6YD0u14WPPx1gNUPgnvl2sPZrxKkCPYcwFA3XE+gUiJz7XZQoVfOfVlJkw5lmR
rCUdehNaJI7DNEsgVH2XutogZ9ewnbyr2szwrK3IizCxMD3Pc+EvbJ56kazYiTH2pfV13PdzV5q2
aeuPzbrKCTzOai7jZV6jMhlxz5bDostqeoa7RmODS1fyJCuYjDaUrOMcLzlXc6zGNk23DoVxiFmL
c4gbOPcncHMETWotxpeV42GLq0K87cgSvVodXofj1dbVGZk9ZMKc5Ag0VhpCOIzWamMnFz2fQtoW
RyytujL2/asiFbQx3ZjV8dr5s1o3/qa2tn2Hu+miH6HWAk5z0ma1K54idvcLF4GRoghrKCApFKh3
mat1cD2L3k4xJxW2QEVcm8XT0rcu5ryvrgteBhGTslxflGTGtZnljhi0+UIGU0ck+HhZmiUyIZ9C
Ga8yDx/71rbeDF3EmoRrVDSxR0tZGFBqbHiC6T9Qf0ABvls6qLyIMrpHgLsZt7WdxRzrDnkDPazy
sF1qrZPQ4uEzkt0lK3hwJsdVfwyiErpuOZtfF3QGtXhEDZ2fgnQ3VbtXDYAKwUAcoIqRHXe+i+mQ
Q6nQVFWItYaofDKifncDJkevhBKgvOq20G1iSVS8lUhlRdz2VadiPBXl2xrRUMSTwuNL3TggVVOG
QC+FiyyUAU2mUC88xfkNJyKvE22HsTc6V/0CFR4Zl53JBehuFOWfp0GU4ybNJ9bEJBC4Dxlt7aeu
1yk+WRvdTXHBZXQUEJyXGXEUDWYcl/Qy1Hh00HlZstcpuPuVR+lMkyEL9AuotOiDXTNWmEp3oQZ2
kDYuRhNzc5KvbMhjlipdmXQCjztaJ4mLU5HV4o0t5pDHeUr7Dzl0jy4prmoe183Y9aBNF82hVRkB
fjcMstswENejU+pKtiY8C3w1QlSZsfNSfSl82QnTFsAFzAR8gieMstoanyLxHEGj66Ma+/VqLJfS
bnrX185Ir1GUEDZkIPsCt6s3LZXlAnGmB/oG3MdteVPXzNTIpRubhe5d0D3OksBlS+N6AE02bry2
H7MoZEAEubObiPARHyrpqy8CeBo7smFk2wFII4Silba5oWC7jYuyatPYimV4oVdZtAZkIfscUpjy
cYfa1idzlWelgTK2PQN+ynGcuqiKzKRzp59QSe4XxkIwaJxLBvBzKI7vumafYRWQT8d47pXb4qVu
k7SkkAsavguXvXjC3v3KDLQIUE8JNBIJEV9VxluFcQ00h0+9grBMGn6qh6h456ah3mLmIOY/XoTf
D2UcmmhgA9RKIu9JtcFFurCpG+IKe7uBnc6gf6zAwFsZnYKm3WzIYFFSlSU6F81AnhDh7kPLKWwW
UGXQH2V0FxVubRUvxKIUxM24z/VyvuZpexgtPUtECGgrRFE+oQTfF3w4/FaFhNgtKcVI7kWZdl7V
VHmgF83cZe9Vu7C4wWHeKiAsb3RfTsAMU/vy72OsoCPHEcxYc4b30gW0hfqxHIWPvS7a51bP0bvS
o/FkLdBg5jQKx1Ee0jfV2JJNA6X/398zU1gTCg0DGLdEezpL1BQKpIcczLsyAgl8EBs9TePRyPgS
yxy3MVoqdPz4nukDjgU+TL6KSQpmfvZSTMVGaWUz+phaP35uwAVYjMcecsxUtM2wHaKhKuMIWhbp
YSPmgZtU58tVPpCUgi4zFE2ytqRvNvOwZtsO84LHqQ3hTJNG2JjIHqoSNqlp2FYtjj4g6oEXk9a+
Xpe2SrK8ZHFYq2VTOU3PNB8dTppBDo2pZe9EzP3oRujAqbk1S83sZm1IkyUKWtZz7LslFUkGnUN/
qCPnoQ2HotlMqJjTjRtkSp+4hg8oUpISJKD7qBDcwz2VuKzHHEE5McWhb9J3kPcrHlvbLPMTdh7Q
3CSIrVKB7AtDQnRP9InA8lC2aYiLAVPQWRWDOgILvAnOvUzZBKEXaHxfGNJPT+3x/l0XwCSUkNAC
UELcU90yTbiYc+iWkhwfaj5Pm4yVKm61Wk6iUk9PsJwH7DGYu2AgbTOC2H7XB429W1lfD3Ga6fUc
0nhXQOt9Tl8McOOLuIZeTPQEvPePERqAGhCGX5aDP8leppDBwfN2gCa8oH2cDwpGEcCfZfeEnfuX
C2QbuSNMeDfngffs4OC87xlEbbn44gLufLkNGRR8Ge6j96EGhYMDET8GXXLc0DoqLx6/3A8kKM5A
twX9GsgX1IV3ozZCab6iEaYvxnlQ2xCovsChneMaIff+cVMPHCIHTRoaKJClQLPdi51I+cxCWIad
ynW5zENGUuMy6TZKQ83D88q//fsGFXRVYXPQpYLpnLt7s0OEot7hIVYVL7cKGiNHKagHrzsplued
mMon7JFdyrkrg8NIniDQjoKRYLh/e1fSNYvwAoHP9DUUVXHVNRSKhLpukg6GiA+xx3o9rKawvG4F
j7yxnWZvo6pcKsNlh8pYVGXeblM+hnM/axhskGXG+ljxObwqh4iXCWoX0NUXp1uUTJnHT/UzHnBH
mCoE14dIIUFQ38OsDrnHCwVhKQMF+KQPc/WirgvQATqOeiN5lp3MU0Q3vinpsSXzyp+4D/fTOgQ1
BtMv8Is2WEJj4e6hZSClhYal4CU+zeNe1fRwRkv7ZUgrAfJBNhuBYBzjcU954LJDJCWIU5il4fBb
nHeNtlouwfd6iGcCTrlC5+qE5uV69vetwKQVNGnhru96CXetwEjDgIkFK8LJ9WUPDCmGEZH22y+x
/XnL/oHyCwbSpYQmJYUwTfauNNwrCaJKPcUgX3wEKbk/bX0HIjjUGsdFO3QxxZG8AP0XBPOhWzZl
kZPzsamXbYVEmoEaaHv0xKl+rfn2robCAm4/VHQw18TJ3b2Pa6+7oppDPGRR+kKxpj1SS+neDrhd
QizQJDaqTWtk2rIoP4ATNFCphPBUbbozs78MCAg7MoNgnkbuHXQzZDQvxhpK09AxaVpop77xVU0u
uyXzEvpVPvogq0KloLjM843qR71c2CLH18CdCYzHVUplm8fd4gGPV9BSxrsGIgGI9qDxo1e1pB5G
QKL0qmHZcky9oCdonNeNLqAynGDm4Qkg7pOH3awJtIpAv4PWGdsj68pGys5ZHmLWrOVxlmY2wazS
BrThLpaQCzZrOaLn+Tj667+9W40hAVAK1B1WsBdgshlicqn1CPV1hS5y6K6+iMhSw7idyI4W3g+f
bFO6q8eN7n4Fe+/claQSw07VLs/tXz1X1NlOI4OrJ1yv4ogHMpwDrynaxEN+TY2vhrDGeaehYZMC
NwybEvkVP+9IM7yTMylHaFmwvIkXlJN+CxKjYjC/FexsQN2eSpAzW3wOY2fLy1ApdpMPHMIXxSmI
Mhmf+XbtWB2ZBRivOMyngsyQ+/xyVq+pfyLP3k/pMOAASR3BIAxc9X35JbJWtU6BdhiFkR/2rLIb
IFbe6LRwx4/jes/U13ITZhWJljDxupuUvV3zVWlZl7lTa1yT4fXaRfNh2k8c1LGc/12HhSwOUtKu
cw1tE7V/SQpVLzWeQOYCRb9IJtylxw1oPTGKcJvMHqdJR1v/ipLGbx/f4/2xD3BWhXfTYJxyBmu4
u0nQByhP02yNtbDossG5NXQBPbxXwh2tyyoubAMTgNEKrTxopNBzX3r3EucdM2HI5HFVdv7cu134
eHxl97KWgJWBdg53eDd4LPbyCdI1dbD1NS5nkZ7lKohTnlX05HEr5GtReydoAsOHcejdPLIE/X/3
f5W4fcq8CqTuHJnj2cHM37bAOsrjQbaWbCS0Z98P0rr3aOa7qSw+9zCP2JQTtEqpyyaoS8S8mAna
lDbWOUgzBiat+496rtQnV7oZb/JmatQZgWq92UwVQpdR1I0vauWHbssLVGYGGFK3JikpXQqyIWIu
xl0k8mM2dSQY0HCHPo5gjBk6TqA85ZvZ112/xWNQZ7rs0gZkWVC5DapyEBQXVqBg/NRDcVqtHsTC
ogofPMYw9knqHqaZmKxDb6CnuN6ELhQidrnN0WmfB+ZOsq4CPX7qgx+hzEXIH0+VGIUR2pbLcauj
FFp2EOujpJ1o8EcB2qLyVa2WPk3WDBziC+0m/kZ38/iZK7c2R3ldl9pA/GphzrDvl9xA/GnpFgpX
aJj1MJPcJPU4Dp9Sm5KP0Eny2oxRVgO1DDPo8nysu4uhHlJoHJA6hWFnGWU3XGbLTnjuCmgYiI5d
Fx0jzixDFz5ULmVfoOFMTteZwLRo1Fet3ginmyauF9ucQQMIlydrWTW12f3yFUzw0Gy4hMYfz4GC
agWS+GL7HNZRimCQWCyFMVEP1ZEshIiSeaISrLO2v2x41qPD1sHgccLHAcZYp6FZ3zZtg964ganS
6Hk3bLCCMygDXZ2lMTBl2qVJ8FP7ImPzdK1IM6NNo/vl47CmBTFd19ZvotAJvsmrQUVxLiramQpK
utrAbUEpDMFNDcjHMOGbH8kVV9VhIFlzhGAAqT8C8UDZbdW1GCWsRN0ArT0g3AmMhsNAQlctswPu
+f/Z+7bmSHGty19EByCB4GUiBsh72i67fH9RlF1lhECAxEWCXz8ru/uc7qquc2q+55mHrgi7bWeS
SNp7rxtj+EGr0Qw5xyg/YUTCEZc56BkMykBgsraNapGlNuyuIMpTaRajuQnQ8de2zIVqL3SB6rz+
oMe+LzcQsNkFOqFpogUXrU+zgJeM7ERj3VsPtpecRcjTrT/FA91Mi9Hy3HnxzDJZUfNscMp96mKR
dHkj9HQFwVH7JIUO7yew891maByfism7IMU2NOldqkJxL1OXxrkFBvvmg058G9bZhsCh0/hZoVeL
s0UHK4TzEJdCr1PZJc10oqOoSEA5iswN3CtMANgXSlMvfCARKFdjVv2OAWA6qJoQlQ1qmetCiCl9
B6LqVdkw63Hb0rUF8x9RfDDzMEImbixL9FaADcYtXryuyVvAidCkJ5BDZ22NLZkJpdOvURfr52YF
3J2NglAoWcKgPwXLmH5b7FziLIjFjA09xKIuuinRUzZXrQC9TOPeKwgUUW0xJtHsb4cSau1Tg+bz
Gu0/HzPjdRDmARsuw1/UqH+exxeyI4RANb44pdMfGu9qrFVTWYC9tNRzUWNt73qvX39Vj/7RuwF2
gQUlBfJyccP/eByPHDIqsJYgiScL2tRgubw2wRpkgnvJEWtp+BQ2yXzqab/sGtHpF2gNsGa6Jskb
/yIKW0O9dwsEMyHkNzswyS9953kPHW6D+UWN+ln1ZCwMYGdJwAj9YwgfgLvNYHf9fBSUtdsybNlD
GycgLCRothOIP7lmLHbuDgcPv9Oglw+trqtb25b1dLronmJQFIF5Ag0ip1+8vZ80MBhyffgYYbhL
Uee/L23oQZsWphCbh0qStxHUfN7RdnjpOvGLFvSfExBuGxpe6JYTTIAgHb9/Kagousbjg80F6N4i
5BDto+tM5DegIvHN5FK966YlycEWlVeict1pBsP7i+Hw0hJ8X8qRCgXM7vdWJgDt+f2biPqOoGiC
7lQq9HZ24WGWaPdCopFez2AMfzHa/PTlQH+AjAiwYn+8ZjcDhUwYsNBZzOS69JV6c3StDzAjwNqU
VvwXe+Mf6AU+Y3AtMOWgXYPv5wdOoEaV8fwK8FXodRqiLtWbzFPtctX6otzwlLO95WtyN4CJ2piE
o/b992bpH3PG5Q0A34ISNYRN/0eAvkvKxa4OZiq/Y12BLCR2JGZlXyIpv81S2WcnaPT031/zn2sY
r4m2DHgNhTE0+uGifa8RKhw6l/OqlmDQqv7gIAuBFLVkvzjhop/c0CAIUd8RaUVYyC7v5W8kD08X
T1CQrjlIrarKK4hXXDYZGr9Ym7LpxMQ8vAB3aModlRFQ2tivqvPKOUo7dja960U5PVWeDD+PXglV
EBwn67Sboz54iL2A68xV0TXsT/zWB9Ousi5S8C+RzgAQ8Nbef1tbQqs8hsZw1wBqe2j7VHzhflhC
nYU5+WTnNr1aqzkR25DOEQRVo1SfEi6XOYvd0LKiD/S6c1HaVIVsSJlstJHtl4UFotooj/Rv0YAG
F2SrpRjYKBQyoydhN6k85Ye59T0R7Rgp5w9gz3bJwmE1INlsasqrGQoefTsrkagcKBVLQXzNFSoq
zIS/gg1+diuwymKMtSFuxo9jCaiHMY6IxkTkmhel4vDsFK7Omy2kWFB4tL9Y2j95PYw/ADYx6IGE
+p0l+tutT0hardAmoYFJgxFWNMo9CLNYr3IPJ1uBhe3/6sj8ycomsMUAw8Jfh0Pmh9MKvq3IC7Cf
oLpd12uHgpaVPemuoZQZvnSjqLeiG4KCxcGyBSRmoDKG2JzV8XOf+sseurVkM0ufFNJT0vzibPvp
m0OhDzD94nNJfgAyPG2TtKWYinTgqiciQPrLcWZAsOJ4/cWc/ZNjBapb7G3IPMCtXsI9/r7txklZ
4RGG10rlnFVa63M/rf4JKlONLzux49BX/+ICw5/dcUzaBJwf+gyW/HCwTJ0UlRfhCmeRwhKllzjm
p7aOBd32NJxjNOi8rLbMNuGT0B7skynv/SwYIYQsRFXNyxk7EmVukQC0MlOq+r1POGlABEr9BInW
+DkCBLfmZqDabVelkxv8Tco2wOWmzRzJWu/6XnYfkAaDI5y8eUx+caT9U0CDwT4MgwS2LxoT3Mrv
P9sZG9dxIHx5Ek/msQIitQWAq+asD9p0U3Kj4McjXl7OUK6JhkAoUHsjhbUmHs5Gp2b/34/zn3SR
eD8JCxAqgpSpHy1oJuh5CvE0dJttX1foYsHPZKCOyl/M9TAk/9gLXBxd6H3A+sDr/COJZ+A/TfvB
2twvl2o/BX43bhYIZW8X1togi1uIOMF+SfFlBQI0FkHsrIacXJVfpIOAIWs4EYfK8KjPaBerOx+9
BTtqivYbQ/kQ6Hxii7sFcuSeqsbzTb5W1pUZHYRXQXAleJlzkIynuqxXmntt3H3F5Bt8q0PHMIz7
UXsHC688syUVn+oGUuIs9saBbxPfh0ZbWq6fgrWHbqtm0LHlkBHFHw3XzbpdhC6xNUIZ/YoY/B0/
/66HgqoPVCRqPJgsCqf49wumHFkiedVHOdTMQVfEHnyx3sqJhSRmnaE8ZMETwLnwLvGiFKK/ejbq
CD2xupecxXf1TNvyFq3HQLccLNt09ri7xGnBCV30NQNQkeLdTxs26LT7zJjUbIOKWpnv0o4+/fGW
/zCdv3c9mN5S/BlW+u8v/9fVvxJQfw/a/Ov7l7jTv7666b+1n0fz7dt49aX/8ScvsQD//lG83J8x
ARc3/ndf/CMX4D84/+9+T1X9D//z/y4WACmnf9tz/8gFOH8Z57/yVi+G+99/4Y9cgPCSrgEsDVFW
l4nld/f/H7kAof8bUM4owMTlhyiBF5fLv3IBkBkAegPKjEsMVgR17V+5AIjGYhfryMVFGYAbTP8n
uQDYlj/sWkpRhVEB8B9BFx/8UBNrx5YWC5AVJIraD5WO6UuraAUZbznt4Pkpv9XQlLXZVLrkha9N
PW2SZXJXvh403QYpjHqxWSHJ9wLPMKjm4lJuFtKvO7n2y4VxY9Tl8CcxH+U0DIaso5AvFDzV3Qvk
qhGQcWDs8TF1Ewswg86h3kD6zqq8jvgyZdPiQ1kFGXp4ImMd27y2or7HpzbCLY6Z/t3Rzng7FdFx
zKBtHvwMWljf5p61S5MnxFVtJqJKy02nq2Bbo7GwICaAyudcNfKZNAnFIRLP6Yz2UcOUTIggUUZm
j3yBzE67rHUxzqe1o8bfh7b2jjyAjzka7PppTnn7MazCO9ZVp2Cd1u6ONau55RHOPti8wwGqZBI2
X1SNgfhpCaa2zsjkp1djqJbrKFyASlhJl0e4QCKAjVMvDmlaVzBamiR4gZQM5oS4p3O61S1fn40o
oTau07b/4uoBErOx9kKAmjC3jkVM4oZnYvZMsEnkyL4a61VlvqJXBr7UV9EVm+K1BODV0LKoWjN9
iKisHkuKl9k00GjUUOYxj+VwwgKZbnzrXQUiZetRLqZ8WHpqECCh7Po0Vw20/u0kIrTsEH6rAmpy
WK0RcVw+jr50CDpQHcZQMyc+gDwZG4NmBnq1YzUAOcmB/lGgcI2oVbbUgQ/6cm3ZwS7tOKE8yuAr
gChyJL2nkswGpqzzGVaF6wGmqXAHJqWvcHtJ1GXUclAi/TpPx0WFU58bPoF5rHllIS0K1cyLcQDZ
XLRm7M1+xvz/nI4Joh0cM1BqexDnQ++2sE3QTyANF6q7tPBh1T5PM/iYAsHLeA8z06UFAsuWN+JF
7TM1EkKhIencG+19OOMCOnpmM1GYeIpxoo7n48SxlIBHrgSi0bY9G9/jSEOoBn1LYXh9ksHqt3nX
RPVXy1tvzGH1ih8A4cZig2kedgOtS1lvgD6OGXSs6fM411WdQdYOdfbCLre+c43qM5JORm9cN3lP
dNFgtzE9lB8+pEPLrrWTigtLhqq+cX7tV1kHsZQuLsaondBWpXnAURQgwDHika9lOuSSSm52pQE8
i06UrI+9kVAdV0uoq3xcBqjDPGMsmhgVMgETP1DWXNEAGoUJsowzlOPwWtSlNR40mun46iZNnnhi
gFyTADkBed8bPlyRpJ5lFpCaqV291lIdO8VaeijLbjIHNPNKbocGEnGwQi4adw0UYPJmsd7k76GH
XYN8GFbc88AT4ZBTgyCG3DTpGsGTwkpbGA3kaweCkjMIilLX5hozlju6QPB7tnSXRIK1Q7GsEEdy
m0DIGRwrOKujvTOO2s+u9+vgtcKcqDbMgzg/hxHW9QWsacOzwUKg2cXT7TJlyKwAZEujc0QSLBcB
UyxrAMD9gBt0U9Ui4relDZG8AWxtmItwNKk9T0tFgp2aWyqua4xFH+NFC5XBrQBMsnUNTEOkqsmw
m+PVfyRA8RL47Xr5Xg+OjVuLSN2wYKQj5Rv1ZvoKcVP5FR4w8tUI5TcgRCZqz9U0r2k+I2/0EWJN
WnQYnQG9xoEX7dCf1E9BR+IRupkZ7AG4qPKJAQbQZzRyFdu0fTQ+tYo3SzFRQ5escq7uNqVrAzDr
kUzqnHYhjFyEh3F5CwZ2A0l/327UoNe3FGpoWGMsWUXu4Oeeij6J1hAau4rcrxi+B5g6IF0qGp95
OuvkbOrdRf95HDtYQDO87PCkaTO8EYsQDciQNdj1EbrePuNoHUENjB78NHCKJEkBk/oUbJiIu2qL
qUYUBl41eYB6h6Hx1y6GhpgT9HszTvEDoN+UbCIb4LyCFrJjWE7AF7OEok9K0pngkOl7ZbNSODht
IhHbcW9amjxXKADBziNh8Gb8nmNc7GXsFyb05uEoVj6ue1HVJj3MXT++DwbmzsyNer0HMMHvB6SP
DnuVJC8e63hGFZUr4NUyPq4gPd+gsS9PE5QHJJPDxGfIF+Z86lx3byDUu7LDoD4mvaTJzhftsh89
MeL8xEu89zLqP5znwBQ30LmimNhmDuHpWlHJbCOVy3RTulcc3yzOGJboM+C6wN57Mkju1iQenxId
wHw0g7b+hCnH2E29cvsE/3UnkT0y+TiITQ3UQuG+wJu6NId14dq7kNlLtzUaE2vWMgmIntdLGKLV
9y8G93HeUdNEnzvQ3CU4KPBGGxE1fpfp1oOpGl7n9AV5MoJtaMrFl3qY1iTreuk32Vqn3bBNOJjV
iwON0AzH0fqB65nNCUB1mu4WOSf0zFtfagiwhR2LpDXuRhixlJuoDpzOyzLtmwyWUMxeHch0ncOk
Uwd55AlR5cLyJf5jHvyzK/1/uSsmQDD+c1hWNjXll789huDSFl9+499dcYzxjaQAmiDv/XtXHP5G
Ioxw6G2BC12yEf7dFVP6G7BYSN+BTfrA6UP8uT/TsmiALvviWAYOnmDEg+zxXx3/d7cIwWB/fv1d
WlZ4AUD+NpMBI4qArSMVFYoSaG9/nGWprTg8RTNA5bKUN2gBwiLCQb/mien8HdPCIdKl5iwpFJr1
b3WTdDyHbVwFReUP8ilONJSzcx/V14ZWHKYeOkm0EasKeI4onfU5oF5F8gjPk6hgZZxRuRJ8m+W1
i8IuH8GkpIces+fdiiigtEirko4FT/pQZkIEye3kwWuSBQ6nbcYN/KrgtJpyyUlaBl81MjK+SBW5
R4k0rPPIV7zsXLqaZ6bvmX9gUcMW9EffQlitsqkuYQNjtRZbY9unWaktxvwbOHVv4P67DKPwIidX
XiTOtXTo/obCzvWWz1MeaW8DrBTgsNqI3u05mttwCPb4uQrWAIKe0kX+QSPAA5R6RMZPDs6ptyh8
NGkHNBXqlyuZwLICpuRyhELauh/8/ose2TX3bNEm8tTr9MGv3S2o/w7ZTtASBfjNidnMQwUbWuSj
uCT3HVxpQ6eXyz8bXTJ0myLxLZTcC34FzhcO32lvEO8ykWfoRLdLqw5oDlr05yBs0e5fwJG9q1Dd
GhG9htqlLw1gp201SoqqNMBMUnQd/LGxl5RPHrHlc6A7h2pOGu+bDYFhZkG10CtM6AMKopOgdzH7
mYv/fYVlFTRMmaGY/J6b5dcPlTHmWiZeh7aqJPS8iIbtxrZnp6YmOA9rOR3ByZk5gz2puhvjUTzA
algiC2axFq6dAf7MDLakfmsCa0TeqovrD+11dYeTbkHjMMAw1GAx73gcD5uajerWj6dlC0eyv7UL
VKO+cZ/trJukYD63H36V1pCmzHxfB22JCcDjbAPgov1YhFUnrHy3RxDB7+NZWiTI2zqMrBv2egCm
N7SDeF/GlgaZF4EymUNV35TSrgC++vcSDsONRHX+aM0SIoONwnzKFYeWKFBLcmQO9S1PAArXeWU1
5jboQeYU/h3efR1hi33God4/hYZN7R6Ci3KF+ZGkt6SRAJjGDjgQ3nlgvhqAt48O9vUnvx9hxuJz
FH1ys6ZDtsIL8doJNTyZRUVvC4S1KgPasVQFLPTtOYLhW4CxH9FXK7ihbjigfkiQAN69E2UhLBhE
mD4sqZoDsF4Y9dCdiOFtKC8uaFQaW23QN4fdBohRWm0bAF5zXvXo82g9wkXi0H9/GyizQx72zpwH
S7mfN8OES5/9BdK1pg9nce4aqr4Bq7fvjBhfXAfIBzBvtazRdwtI+Hbat3LFHfX6aScS2ugt3As8
2WNIQcxVu4AwvpDG3JyQw0WesXhwjTidwmzVPALy5hA/klVx3bqC2Vl1ZyS3yeqAJLB4OMDKUCdX
QQtTWRutdXALN/eEE6i+hEWG2ADoetlgHfiQeoERF+7z4LzKpIp31o0KnmyOuguhe+rz63UYu7hQ
mH3oxpUIkisA9PKxCGXYg7ovV2iZpmAO0rxtbIyPcSAmxGh5OWkU2rMYbTDG0esywLYu8FFplqED
IntJsOyOFBqMl5l26HX9MEQoWk8h+s1InExmB+QhMTsgrs5uJ4gCEQ/HJxJv1VAGCHajft9vYNLl
7kmIwd5UAbxem2ZRiytwwsbdJsXUT/bJWqE/Dezo9Mm1SfoOX6qZ8V7QrkB8wAnCecYWSmIL7tzl
aAQhK6JYXvqs0yEZD/3EETWQQo0oth20Ic9pl6boEOeFICLBJnzYYiifg0PotysE0sjegZImbYGG
RknkqSNZVpIePZ+39qzKqW02PJraXTkNyfTJNQO5Xrpl8POlN2O5gUIBhunYWoAdDsJoD23ZKGGb
Dji8ROFMeLAj2LcBghmQ/bdZRWmDAir7qD+7cay+wY9vhsyrYTi+YXGn4jObw0Bs1qSXB4hJnQ/T
jmJwfZd9QjdkhooBtj+X0kya2o4H66L2S2ou2UXaIm0tTJvpqDC2Aj/wkfkFY30/B1uEBzVttroR
CoO+o2gwUTqhAfHHyuWjUTo6eKmP0dKrgRtnCvKvMhsxbb6aVoIFk+V8CVjwF5MWTetUQWCoOk2u
97rMenV8tkPUQOjOkROYoahTLIBgqusCrmTqsjI0iGgkk6ehfMLZOuQp6g6+o0iLGQ8DltuSBDNb
bpFz0xd0JXOXDSkZXpeJzWWW9tzabVBJBmOA5DWiAakM6IbTBRqKOa4EgimIgMgr5rFrMtZpZjZl
s3ZfMRvNbxNxUYXglwkdMhl4dK7Sqf826BIW5hlPQ1nyqp0hxIEIpBgCKItBqG0CRJMAXJLC/1xH
ZFoy0TRqP8GTTQpDmuW8ltY+UarKJAtHRJ0Eg+yKQdrwDZw9gi1LbisLSVlQHee6HE7NPMDkF8N9
ikSxTlXVLqGRd7uEaq22c9mVLxF7RJzjZdqn01cFiVVznczUwZtmCCnCskHGB6bG9J1yVlEER47L
zYJMS5WLyYaPEucyzxrJIgROApjgGT7g+DPrKXkn3QgndmijcSpa3/bvSZsMZsM1wi52ikcNADKf
Ey+D4cU/CO0GKESdGp8X3+tZXi02Bsg9BjFw5YR8RNySr4hqYGPhaUdeQwuSZTPC8TwV3RIj/ZPW
wuLogzZTFQ1G9Y/S9pZmpJ/DZYvALlgi9NrFLutT+MKyJNIQrq11h9CFgbogS4G2v4P8nTA/2Qm3
b9TxPGay83GTQEGiGvnIKoD1fakEwjOQxMea5o4YreGlbxpI6zqA8ch/ZCvHamLwF2Z6kfA4h8qC
/RxgQhwyswb0OPdkQRpK25UxUkZru116loCxnrnngOh0+lbwClbjcpLiFXs2/boOq02KaI05z6IF
PhVE6kFJjPPQznLbh8LdNT5tb0fADl9YGnXYkGuLurWuZsSI6id82awol8euMeg9XIvEmLxTvXMZ
76TBGlbzYrKBDCvdrH4HZWo6rOEbQlbrtxH/wu7BLxhio0wFQVsaVfT/j1V4Vtsf3MF/G6v+9zT8
/eFu//qFPzOI2eV5MdgEyBmGYiXGVPMH1ZD+BqkxtPEwwTBovIAQ/TVUpb/5QNkvgfdwp30/VMW/
EbC01EccAMwskBv9T4YqWA9+pCIvMeMBJN6QbV0y+H+kRiUeLCeS1cncT2d+HCaFcrhsnGXPvBRs
CzPcMTXDzic70vv7ytFxQ90rqyS0kmET503Qivs0WnDeUU/UD1Z2G0/rfIGLx4p7SKJqDEfRjiNT
FmLmMg+qKEbSa4+4ihApadU9GiFaAKU9zHA6GUqyuBMlgAkcXeV8mIB0hvXzOETdmaRvxgBOhoe+
FRx4q0NSDh0q8CJIzGHHWtyEU3pwMWSOYRhetW2YI2XnbgC/3dInD0THiLO78dhBq1VCKbfe0Lhu
EChUPYU81LlFrBjwW8TaXlkPkNvqFaqWR79ZXhz6jEsV3emg32pP5gbnDx34M0KC92E9Qkcpp00V
IbiqfEVSdCbsMehfxzGFkT95jusN7etsIi9T+7XvA3RPT7M3hcVSh2TPUlXMQwi1WDzAkeU/6Ebt
2sE+TDV9X8WKiKK0fujWY7gkBYaBdJvU47kBr0Iksgk84k5p7e3Z3OZwxW8nxCwfLaponkqxp/aO
OH60onWPTJN8SO5ZesO0wXVGSY4BGapvd2OkILBXq2lXtwJSXSZutYy3Rvh76BKA7auz714vUORt
A+f9I851fR941XTlc5h8xhAa4/G1xIUOvv8cjD2ICv0S0v441h1Cpz9LFHKFmOIMhRAJzGIsi7hE
tgtG5X3TQWievq0JMgSH9TQ2bi56h0lytccLQ4vhihxmDjVyoqtHKLNzAOQIFJa+2fhJ98ks/NFS
qd9WPdlvSf/EEdwQuQUPS5NFyZNPk2w+mdDmjb4Nwgj9JlRjDS9SckG9FKJAMADiwGdqPYdoPuDX
vMfTE4ZHN7UPS1MPUPm2al91i0T+Dm+z0QcANnXBzhF0kKi2cE8jcvkBfqSNDa6qtbkN4/4Uc2/O
1Qr0IKG5kOk1D/wMWdhoUqu9ktFtn/LHrsNHukDaXB9pg2DiuvGzFD17pw5cSSiOr/oYmKjMCXgQ
X9A9tJ4FYhoyE6qHBIs7Yl8lglW67gTA/mZQokPdxBx4gr8Kzdx8CjGlp4gbAp39uWre1/JULvIh
7E/40auYgEAMZ9j459dVvaXDbUwlzHFI+Ol2E2I8RICerD6lIQrR1OH9B8vJeuNbwFnmg4vLqbi9
hHhx6ISlNhxaD2Q7IXMHo2ze6upBL/4ns8qnpUyu/ZVu1xD4QJyTBbE0AhBgwo5N0jZnyI8ynfb3
GnB1zw7ENQckAYWFioK9GmADB+EJi67UfRbO5QRvl9t7g/fhKladokR+QgDKFdHTh62qV2UmdMaL
fO7Kle2E8DcaAsU0lOBCvAo8C4KIMTEgWGDt++TW4ukMu4a3iIHGubFpSXAv6Azbv0uGG7WmE5r1
Fm0KgUrDGoe8Gy9BoFFqPoVD9NmQ7q5O7FWdmp1sZPtRr0v0iChmtB1TSaEO4/cRQa516kGRm/fV
cFdDVxMN4lj6w34W3tVUA6dOEJDGhtcV2rZ8VDHmjPAtQOJbw8eTWbzPfExkzuQLhfcP8cXjxiVz
uW0xqiJ1agk2CPayBfVA5OhyU+ovHHgvcutZ3s3hTYtwE60KK2P3PNFTt65QXU3zUwLP5WaOSwG6
C9MjiQIPA6lZ0mXvYMn3eYJcAGag9Far/2qnmp0DWBtz0SbdphrGccNqP90NLZaphispq4cIgd2I
dJbDUsDeihgaPiJUhOhnFSb3IoBbQKbegEqx+u+zTkieYrbOhxVeRVj6Nlo/hUw/S9YgaIA/Q1zh
mTS509VX0DbYz0i6Qq5QtmCTyf2MzdGDEI4Lj91U/pEiIGxKdyN57wy8iNgaYMWIPi1Nd1Dl/BpL
JQDb8X1TkmM9+Nsay7DvsGTJl0rg4EYsNKmW3Mc8XVtYXRC32zl61QDMcuDh0PKKnb88DzjPQoYs
g1UWTKsSGnla76K1Y5uGdSxbEnsX8GQDo8w5TNZzr+SdiOLPgF8RiONDrH3qVXLN+uoVMBZilCZ3
TnB5M7q52XyuwvMQFVMM45o4hv5arMktWPEXDAJFaVtIQROos86UfoZdBQsMmcB++UrlUISQjCOv
YVeCF7NpepPGElaXwwBgo3zmo371BmxqfZwJy6JGZ5MyyMZhm1Q1hcAwX3vltZ7HHUOiawTlYcVg
TtcPiOm6ZHCAZ+qWE1hPpPiVZNm0PoOTBk0oiORmK9CdX8d9iZAcyBPR4uoMcbEWZpz57Nn6NsRr
H+jaj7kqy3WPiI9cseu2tDsm0hz6lusGQYPdjLu8pF/pYralDosEFGAmoxGWi6bZTXN1clIfJkAU
QEkvK5blUTfPB6RKlVkFl07R0/ql87p7bts32vQnZxgmFsULpKbnCivYW+MtZpz589QG8CskX0NX
x5iZ6NcxTp/GIO1xeeORYudn5YCkvVWZeLuEgQdqA6BiG2GpIPwo9xFq6DUvyMfHgedWAnoNSTe2
eQ7KxV0yDbEXkSGWJd6KYGlcjD/faycPgBrGHGkxW4h+N5KZ54ioCw11G+g12MJOshWaw1ZR6SXv
16baURxVYly3ASo8YjLycSWnPnZb7nbI68478K1w6jyO8XxgiuLD7+GZWCsE+flQ2lUrMgeT4NR1
7c0kDzQAau3b0N9p2JMdINq4rY8tm/dNDckItXgAyw7dQTeR6oAiFuY1RFkSWOiq0iJ21U0HOGjy
vW8zgYQAvpp0qW4DpT/3RN0u3oQ4encH2ejGEa5eCK2zZoo/13p88f0PBcv31H0ECzna4RSUX8po
ygVpD9afcudZAGbNrobla8C28ZFY2l6J/mrGAwBCmGYfA+xo3tIcKUe2P0bLU5u2Gw05aC33mAMz
EKAIN5sLL30kwC0T+2VQCMgzbhvW1xV+cQaxiNuJe0cL50f3sgGk1rm9Rd5pV6pXeWnwRsTvP4Eb
g5A/yjsCdbPF0Jc4qE5tUgL+ZadgbWClrTJYLj5Lm8SbCoapjktQ/NhKU404SLC8XYJ8JjNfS3EI
KDs5ELZtrPxr5zT04/TdTDpPnU+hDun2wehtfVLi1O33PTzSQCSrAo9QCLCFb+M6RPvm3tpe7+0K
PM3MXh4k4TGs4kMDZBhxWm4bxd1DIocN1BR3wXAVGiwDEd5O1QfDkw3gk8Jp6x+BmR7J2n4C64NQ
uv/D3JntOI6kTfaJ2CCd+61ESdSu2JcbIiIzgvvi3OlPP0c1g5lGY/Bj/rsB+qKBrKyKkEhf7DM7
VnoJqb2cdX54Razk/NFvopSkk9lGm8qetgC9Xq2x3accnS5akWIK7iLm/DkLJ7IEBo0ZMG88ljNB
uUWi/derme8i82pv2xPHK7uDaZ+HctZZdMxfJ1Iv9cSvAPdsTUzZffQzMwrhr3OpyMStlvjJx/LB
btpvxwMFCYgHegKZiTTTHovK/5zvMwRDu4rWuPZLvp9qQkUyiGyuDmVCjg+jDPcA+DB29jSoF3LX
K7/lA627PeZ5WF4Mct3aO+tFdzDa9hWofZj6yxudCq+5K85FahzZJ9aT4FwDDFGaepCK5CzqOhQa
8V5DDQi5MOpxAk2s2fNKc9xyWwlrmySZYCEWzabJkqN07gLoQAKOygvZolLXw3PWqdDX8oCrzvPC
R66Bzr6TM/1MVaexEoAFe1CpqBgvXjlz1h30ZIO+vMusBn9EbAdN1n91KbeAadD/cHRtPxwE8yCf
Df0CkMxi8Rjv3E2zW4+DAapOi4UTOEZu3MOUYlkRwzwCE03DWCw7knJoqrpp74sMH1IfPRXYkm4F
bRbrsWubl1a1rLjIZpN71RawEbNi9OSg9G4t4AKBjy6qlG5xlt5FBl58w/ECp/K37lBw9Jd8GEml
vc0M5m7YezbtaAqgjah5aLV71ZpN6A7286xpF+9uBOLJ4YlsyAxuW21iIqw7TF0qFdYeF796xPbm
JtobqVicMZUbfWqOf8sIn6+EzYndEPl1yVy1xR7W7QsyhNDlapYDzMdNXR9yP3rEagQMs24uSQpM
p6qqWztGjNKrv2lmb4q2F4FjNeaGbJm2pmXmy4CjfEuzuPtr2KoLPZok1uSZ6XHh6CZNU60n985c
rrXu1Ltg6Zyu4GRAkEKmg39yejayNtZWHiH5gz1az4JsB/rUP4k/PbSrKiCK/sXw0dzWFbjJ1BJa
MEnwlqpzypWLtLfn/LNrjJbFr8kY8KPXk3bx+JK28M2w9aprL/N96rYPne5fiQzgYGIMlo9/Qbqu
JksNK6eNA1eJH7PKT5Vyru4gOWvysojBRfDi9EhRBre/mmysgvF/5RyvgaVdtF3f87VhC3PWjV12
26VFZzdshiS93n02rXifWuPRbES4dO6plnLTg9gkr9sd8/QX488HcbaQKMlvlWZBXuU/LbjjtIu+
8KiHovzj+a/o3q+m0T21hfVsz2VyiJbkj+Y6X3bbfdZl9+Fqw2Nq8ttrlriWSQsGTzlfTcyroKcb
vMQcmed+34mGYAkm4fQvrpvlePefBF5kgEUcmWDYnU04cqBLJc/4eDlIZIN6a3U73tYagqlciiDz
moumQbkHQMpwKAG+/NkYZCVjHdE5tftr7UpnYxeUtDhDx0RWsy8Cc9G6BD/nc1FQtf5Iec3KKvKD
ACNapsN3MlfTyq1UwyLjzIEsfBY9VIu5P9Rx/FbQ5lBXxSWyu0sj8sAuOEw16u+YUkPDxktJjREx
EUsC2bNdzw6HtmXaLJ4e6AVxPy19LJpx2+dWjp6xfE3aGA6q02Dyxb8pxxwjzghMjje8+3/9njIY
VH4u/S4AQlW9e8rd6k7SrKnn4NBebarWe2/vLpW7oXFFHidbCdpkXBHEGT6srL+lSRQib6LRs5EI
R24KDzYhThUuqzGJbnUoLH/XdjZPvnGoDPOoT6SKi+HFFkATktLFbe/eYclBbkxBip3OvQ/jOUqu
fFaq3FnCFjiwG6MQDaZ4Uxl50tRC3jA6rtkNVqZ+nwwORyn3y0prbDzdYUjZCftmP5hIGrDb4MsO
OWM2vzjFHFGXMTJubZtc7HRa96b2iqcQCITWSHbczNNXTJ/GMO6a4eTWS8JRdN6P+Gu4tWZ9/8aJ
aDj5Uvyx2Ot6TTGK4ujnJR1q2hjbl3G5W+HNZjb2ibmkl8m9H040E7vS3RWLbX6KiziYbGd6yLox
uasZT6ZsMv6PubxT9nOYmhxRyjfsVT9Cphiy7lsSiPbnv9nMKLHsn5N0voyp+VNXFqp4Pck7O0tr
1rbVLi9x5Ew5glSJ0CTZee+RYx1fAs9TvMV1XoeZ1umP5OeP/Nj9GiDGU7XwDSpeErjsOMRmc76O
xAbGqlvXvYcKH1XXgm9e80sAH/IMCm2bl0690wFoBfDSnADbL5+5KgJvwt+TdhvC9a8QJSmoQJYZ
Jts+2Yg5FyjbTKy4IpvZ8t4U3r4F8UeouJOBjfh/cLr6sR3yFDvevGzctNrithS7sp8PymRTxik9
I8Nn+bNsmzYgokw0BStyoDW5x1s18ISU85+y7ja20fS3jCE7NLgSI5TFTSScehd38Lg1Sj3e6lGc
y00689j3Y+xcWOTzN08g7GXcBVivP4alv0NMOL+AmNq1Njr6UPTLZbC7+WUp0+VLK/T4N6+QO4cL
eM8Q/u4fU/TpjkxThKfDZpSecNliMT0UTUvKxDmMxattcI/GrcLwLV95g/00uICI+znMwZbtRnPf
zdavmaJ9MNfdlHb6MNfV1szUdoxiLmS+VOdkaLA/6PtSax8nXuLVKJNHuIURcyX7Fx7D7n5GYd6w
iYC+ZEeNWHztWGvL7nZGWzx7zHwI/RVpQbWH+ehX4xKU0jy7w/RXTJJdVNZ7LGbHFItZKFT0iAHj
LIWx02ekKWgZRTj2PPrF/XNJivSxLfUzjUHzVo+Z72jSTN+K6KPL5pPoCa4/SqcK48nelo0yrghT
DtDjVV7smmy2V64rjU/VLXAQM7vaUAYVNLK4WN18TqPvxqTsxu1WuUKTa833Bdek/S7Q5dD0ZlUC
Nc4u6aytFduS1idaoFXRxpLdyFlEvSN6HFxXDw0DCcQ1jYNbs/0VjOhnQz4xxeECl9ofml5i4cmB
sDqc0BHqiZt6j8RC8N46nzjDezZuoAqtSNdGX7ooK/KY2c9d7AY2i1nPHjsgJlQxfg8crJ6D2pOi
AHV6Fsb6stY47TFcQkYQeGu59iy+YOY2Lqt+8d7mKIOZFuGz1qySq3S9aiCQwy/+6LRrhyrN0BXz
0cZh51loZ+AAvnK6DCI6Gb6VImIU6PE8vSfxQ6l91r2Ap9ehkcS/9xfMGSFJVnKntfp7X7AWd1OO
XL9cpvhpdr0D3uy9k+h4RlLq83aj/5bz/GDRfxjK+jOnwQLnd7QB4bj3e5bkqX+qWS6i5TkDdE99
Dohljs1zfx5HC2PEfYH2dxXZAKP47PwkUNG7gzAxjFhevJ+MW46GAJoPZVBiSXUWfee4wyGnhQG6
ejVscvGUzD+i/Cq89wVjd5T87b3y6LfjxhgEXLWPLn1B1dDLdNegQuvYi9AVsKbb267j2mAYF8vX
tpRaIatV3bGMfxsMqrlRnlsirnWs77zB5zdgjpZIK9DB4ycSF7burSLYDRTtvblOvuWiyydnxQeR
fCaCXoOi3GvjrTBQkXNnCNvSClMtX0nbudnVk0diYTBXYkk2tBA+lgWX+tbSdoNgPGm1+RUD+DHi
3rbKKnNjOOQszTsvGJVaasODo6bv0qIL1WAnpPHjVuAs5se72aV+Uqx6skr3hYeVCVmrOrS6eAPi
jbv7TY6XiklINL0aZrpt4t+ZeYLM1614q6brBMPTL1/rZebDxaPtqPKm8G8fYCnvtZkME+OIuXN2
DqSoIvcOVjqe9LZGFI6D0XxPVQ9qbHouxGdBRDYb3cexs3YZaA+s0jTyHWP7w0q9sGqwkve++zLY
NAYtgIGhwEMmL451f438oX42UrITmhbKzKXIAtN25wdu9IQj+ChMB/irtjMZAmd2vFEEzXMh2Pi9
dV/dZOKuFYz+vHycrOdqUCtoWOXZSTdx/zkIIlkXv99rQ8L9G2gu3vdRPzDnMdoTdynLOJbNWYF1
BUATJYfc23ep2mvxgSZBtvgN2Twv3VTVa6GuhVNubf1TYxvPTk19mGM3ZIa7TuZna8zOjGoLHQsX
812eQb8xV2kOn1RKhtn59n41pFYlTNXfyJwDP5sfCtwHcn7zrGUdi241Ft0Zjbme7tKzuhg218jJ
3OpVfAN9uCkMc5eZYWKll1ae7ZwpVp1jabE4KqGupd4YkGHdu5ijJAem6I0tYBW51UaXR7s62sXZ
0V87Lax75KKtmRpYeH/m6tXsGHxtUsEe2LiPsuQfNepzlCKJiCIsRmcL0D2Bgv7aGszrmU6vx5Ia
BUtsPLVbGjOsp2ZN2QsDnksreG7jnfSnDzN7UB2O33uzCqJ51pyqauelA+77fW+ysKQsU2Jr+Spg
eP9tKO8pcauYqoYbkS18aHQU+J69MuhX1IQmg7gk7CGskvw1XnjCL28LTW2bWg1hzhWMIxToWLXH
rLpiWoArA08mXyImrWamsSArdXeTiDR/HhMaLJCZXO7rHISSfRQVxkrqXrm3lo4LWnFqDETbYjh1
qq/DSmuufRJ9TU79aeJtV/3wRlZYvmVjUR2ANnEsNPLmvPjtRz6/K11h3+u6P3WRntpSrc0hR+0B
4To0Gy8Jet3blto1h1JyF8n9Zdm1rsYqjHNwuUY6v/LyqVWSmzBEXFmnL+Q6kThCyxq0cO52M/6F
1cLU9i75PufcL6Tq7E2ZkWwfGKs1p0Vy4Mfl778uxqvMLia8Q47oK6XJTc3zuZjFNhKn0hxvRvdn
MrU9Lra98L78Pn3MUGFFeot0nDN4Yly1cJaR2xYlOa/3SbFfhk0SvYvpWNlPqNyXtjQ5f/dqLWzs
ebaOCNXJ/kkVWbLWevPDt6eg8D9oGTg1FAr4WMQ5QqYrV3osJeU+K9QZ4+PfiqQE4nEwoFP6YpbE
Mdx0K93qgl5gokWRVAVTfBp1fsgOr2M12WFpd/m1itr8w6HHaIux/ca71eP26z3sUzsKKVa+9sE9
m9fJZQrUQUZS1TrJ1ZYSnYe4pOhCd9IfGjxXXSGofI3VIZ3phczjUGJ5Q5jjlOJpTZBlPMnSQJ1G
Dg0IJoWjq+GOuzP1mlb7hs19qUhcjZpuXYrc945e2o/Po7K+HJ03vPLnRwN1aPbb36GX+yWjt2fJ
456xF4q/jzy5bntmIvP84PuZ/tXbGsZbLIwHhysKrWvU4XwtjNpXdBPPSEVILPHolHvXX87dYMqN
4QJSqKJ4RhNM5INmR49q4PYx2MmLL2JzjRKJU5EEN+9TF4dZaZgPFOhGPkQtN71OieTZIqS3KlPz
y09UiowaL1w5Z+sqWY8APCxTWBNfZ9XS0+iNi6HPI+SrY2bE/c6bfO1QkniwN84S51sX6T2wyjZs
3Pktnvk25GTNG6t9myYvhLLw5Zv2Nqd1e0Uc/DXWFVcwQbRoWuVCXZ1R7pkQb2OQQm2X7BuhnzAv
XlyiOEWmAY0R83zIsOY1g5+c5rzVg0Jp+s7nSbqBgD1CCxi9VVHF8b7K7WKrNy4O3JHi2zcxNFa2
Eagku66zBNArOoEHrkmm0FhP4meYYY0ArJ8gXtIr5OsBvP3d5BSbrjH7g2bazoYpjnkkXDaDZsoW
NNo+jyISz6m9jaKm3nV69WhDrHusDQak/hK51yYWcgcSp9/kTipe3K4551MJbnWikYAej3ZlNNxt
xkafg7JGqlCJ3j9JVBfc3NK4TQWgk/W8OH1oqoJZ9UCzLq4JkS4PcpTMyO9WfTxF3I11wAuYuoyn
HKvv4A1GfqkisrHrIq7Nj6l05e94F3ljYUzrZkJpKnLZ/oI6z1d+rIYf3kFsgpE5XBXdYRszb1FX
SprE/EaTZ3p1DJwMy8i1SoFx4AIT4+VjQDGDXkGuaMiiFEkhbq3jvo4+EhkNiiFmU7AOQ2V+MHJn
MF03w3UQSttYOjnvjmQ6ADK92Noq9d9jOodQJfrpEyTiT1JJqw8rZ7JPspvMrzZm6B3jd/hpANKR
WZSc7HUDz8mkhT5tVhU+KonS5iQDZl9QbBM2q5OjITrVUch30bM2zvahosCrH43mavu0emEEK9hv
6SRu2JrQeshwca6bcLrRicD6Pg0Xg36pd0gkElRd1/mYtGeT2KOujcSk2i2yx2Rv0qxegoQbza5J
yH+ucZB27ipmnsU9uFiKn9Zy86ehj5rHsZo7BihU+KaT+uyjCsd/qYofP6tTDLaIRYxicZ6xG6dV
9tANNMFqiqMb7dM+XzJFLOZI5ouDBf0bchIfRjWIq6Q66aPnXrOnWqM8i0nJnWhtcSm5P3DCaThR
1Qt1j5g0DQO/DM4xBPCI+SdRB4f32qhPWeYjD04JtCs5pxuLEA/fGw00NHA3zq7Sz7m3kBIbZsv7
20Cr2zDR1tvAwd1y1evK/y5azdhlSnNJYLT2OXJtHb97pR1QqDlEsZdeu1Gb39xxpomrFc6to1ts
69BpgFjZ2M6xbU3/Qg+gG4xNjxPG5Eph+hqaziwn2owjZ/wuptjGXqzBHqCJRV+3Zlvph7Yjg7SI
2Hg0+rjEHYrJFlIQ41wuYEtQk6Hy/qGDrmKz785YQgjm1nSD3AYEYLKjxnjLnZnfr/c0ptKGO219
GuPPtsE0ODaJa/Aqc5XLRb/LzdiOqQ7T37woUu1WUm0dUt7hfY55H49rPS+VDNjFtEeRY/uB5PeX
UoUZmWGJ/patJVZlxdDpngvfpNipyGWPkX/xY1QTMpRD0Geux9eS2nujs29UFZXsmpVBMWUDFq4C
lcJNsXaNNwt6ww2Bh6atzmkK40JF6aDRUQN0x0HtJwiqDRtN8zLagQxRn9A20L8zewygQQSeqOGs
EZl8cJt42c3RlB31lr6VesIyFFPcEHp12z9GxZw+AL/7lcItLxkHSUwfU/SbNpTjriIZe+emTgmZ
3HOteUWBZKtvB9dkkBspVOIGVls6NvH7lLvWIZvst6mu5NXqq/kmCOCwXAtzw68l+KyjKERE6o8y
j4z3+1K4tX3uUHjWl5dJH/kSeCYe41zYu6Vt+LtzylOEXXxPMdPy7AwOqstcksQ2MdGk6BMPeiuG
B5QqqHKwXVOaAnWM00EyZYTnM82yKbLpyxd8odvIw5JaFuV0JETXH7ypA14iY2CInuH9WCmcs8z2
+m3dMPXlHWKoIi0eD4Nj/t9sSpYzgtx3PTAx77xm56uRSXKfI8cUs6ouLuXLFdlCjveA5qx90uZ6
6MyCR3gyd4uPc6bzvb1LMR9/36WlVpcHyT37oams4czQkvi/nJezudDupVEFstWztqK13Xce56hy
zsKbhiv1gnNY1jJ/9Yh15kxvhUXkf5qHi8mURK5o0KL3jD+6zT0t4HBegPSJ5HEpW/O68N0OMP8g
hDNOcsMimV/TzCsebMcfTtBRozdi2zqKW/4Of0BfUxhiBGqe67Cty60/Wlizx5ZWFk6NL749vPtC
9zbNdBdH66UYXr3JTFzcuDFuX+n0yEnK7ZuwlbO9tudcnLPMYvIf1/qW4w9zJPrz8EYzqFQMSK+0
W2DLKlGBmCQf53wC14oJF3SI+kToQZ+pp/k7ikwwoMWM92KCbzkTctvMTatGQisDgUTeRrFpZiB2
En8/0+KSdrKxctMNMJwq4MDQs2lwEKmw42+XYQSUeA9M9uADEV8+RZxjCtdptsKJyx0kiGs//zIq
vjqoXf3BLCnkXuXp3X8h54nOnBjPSS/L6KeKDe+0IPtJvDVgOTWcPBl+ep8grK5P+oEHNA99Mbnf
Ze5jzmQoecXEgWe4ad1doRKHKY8htIsuEn7vOgeKP9Dx1sazsyd+xRBoNiGHqaWPrjxt3MsJvxd4
nSISTRgbOWJ6Y73JGpGGPeePFf9Z760oWjJFOOuWlZeOfC0x1YbkLTqRUArtlvOVhrkeyQgX28XV
C7R1Ghz2mYBAAY0b+LLlEsRruCPg+ZKpgNMVz79TKdOrVSggrM7IlSxPZgDNdDEe8L8y0Un496Wc
j9VonDyvkbecbMd3N7t8dLUz6Nel0OTfpa/Vb14U9cFXNKRs3FhjUmCO9wnsHH/iwLCvGiv5ViBA
HcQ4pvQ/+XbyoC1VtVGx0R8JQYtgSnojxGndffSxioOY5ou1YRbNIzjx9IyGVW/Kic6+JJk/Cu4P
vImAFVE4MHk8D9Gsfgvy8mcf+N+WRjcfAqO44zJtV18POs4/Vc/tBsBE+UjDBu7YIllU0CqJj7Wc
vPY6x344Z3m5bgBW7x2vMg4goH2sSHN1ll1DZDFblutcY+dpU/cxYj65nV0z+0g84Dhrm2vrcdBI
xmizs2m1RH3KaG6eu97HnpXVjFzduX/VOx4qUGx6i0DXu0cC6xgUpwfTid9R4DEjEN+4FDIzSb+J
AURBxHya5I7/0jpDE9ZOMe3G0pAbrR66B5rp2RjmkQRM45aspGB68bJ5FfYltXgXRQwu4J3RTgmo
ou825sNMTBGzf8aSMTulOxuP0dCKBNn0oLKMojOC8QqDj5NV6xmO6YaKB+ONxeR7YKq4Zyzsryyk
hc00acu2SufsHMGbd2kQyXgXJltNX5SU+g9efC4iRh/J0bdvUZmUByeO27/lPcUuo5PM1Q49G0Jl
3+OpjNTWNe67udKOMkantIaKgcvRHnEdtv2KhAKW2vJoVWkf9K1vc52MgOwyMzFha1IZ6YYcUOw/
zCSsD3aOaIdXsaDxrHbtP77UotehrJKwQMhges6Ifl5B49c42GdO4DaAnAJoLPVKt2S7Ft69Xr0N
4zx91ZH/6F1XRnyjc8212rCNkNebdrqjP1u1L1zE+zRug0a3joCP0/Vgx+SF1Cnyhlet5k/MhP+a
QMm3l59/TO//rVQ1BZb87z/xQf9OD/p/xBHtfurLV/nT/ee/6v7T/H9GIhLgef6LzPVPEadDSci6
ogfznzTB/S/8z3CA8y+M/B69LoKGn3+y0/8LQ/Qv+D8GQSJdwCy1sfr/72yAbfzL1qnu8MGZQm0D
gfl/Atf+v+7AIGayOvMCAgXWfycb8J8Qonv0AKqnbwtQP2QN/oOZplvZXFB8b69ym80cGx2X0eFt
KKxjNLb9Vqhu92+fy/8l4X3/GP494P1P2IEoKGALj4CD9Z9RhLSO6ykj4sR+KF4sI8eMia6sZc+M
WZ+EzxmtGciNTuabP9h/dLN9zNLmeynvqRzN3LaD/ZNwRs57TBeyewciwk0dW+vG6rzLf/2z8vX8
xw8LIROiPm5fx4aIg8GQP/83VOKwMFpF7BXsqRMiH/2MnLFljo8E78GK77Ti1JlkYe/1AjxErh4g
xOzapJ24BamXpa6cVRFXzALNKF1jrGK9mxkNgSTrLoWZfNgpflscUcu6M6X5yWTigXAEAyeFuXvA
u6W8K522/Ubm5pbQp4V9yzU34xCPLxVSDUnJkrtNlIaC3BMlifHyPYv+MnNC495zt7FqBuuBUWnc
tyhO7BD9qblHdWxNuVM+o+xWzPFpaiBR6Zyb161bf5aKxNaoCrSnLqEbm1yqFyQszA+yH7UHaiac
LRibdAsLycRzwOVZKtdaF4O+8bX+4uIJ2kYlBycM2Iv5Q0k10VvcB1QiEZ7qBXMQe9Aw9Wt3X3j6
1HktrtKyekt6y9+7nvuurObJxmFes2fTM4urIufkvcMelYMBUOpEt4C/hxz3Cj+EOPvMMitnPiDd
ZwGE4sXspU2bLSGpDsOadvBH+RIvpf6oxmbalIoaPUMbSSJAPfz2oQTsosXc8f35oazr4Rrr98rg
sbLPKYf0Msn+ToBDbwXtCye70geqyxDUdimX/1VO8fOO4dYOM4CZB73U7b3tIxCRI42so7cULoZV
lTzBThLIsx2l10weeu4doO3ol+jRr3gDrZc0L5mu5P7eV+IL33kZUPqt1sRZ57USVbkxCvOGZALs
qFcVpFTk7TRp64utMTkC7IH629xvRDlzy6QYsJ4sI8EYL/oFbBT/RZ776pa+YKxXlNk6dZI+bJyy
flCEEIIyNuY1/iquj2TnAvKS5ppMcxa0lNpubc/9U7kq/RKe9jpBULzesUYnlRjdTjSaeUzweLqq
Lt6l05GPpNwct7KLThPbURc0Zmyd24GDrvjHImFnybSu3IZxVtRcSCs3n3JmW+XmnawqL7775Nx8
r1FNhxBrEK1pMXC0jXNNMsN87lM348Oxy33Z4n1qZJ1doghDbU4Y89slm4HxnAC5PszUfMzJjYZz
POw2/cYZtaqoZln8IvX5ETdlxgsaF9u2X8ioRGGaYMRqnBaEkdF3QdQ21DDGSdi2JTlebkaPhYXH
1B4aeycqq75ouq8+FuFOH4OKrIdiudu2WgppV8uYRDuBj3LFHZSQ/nBsHSaPpb1MZ/RVC1BL4uGc
caNdf69XXpna8A254eoAfl03BcGXPqm5TCzndHJfLDR0y+ysk19N7q6DawZf5T6MIPDQw6ulCoHx
xdZsPWunOzhZp8mVcmUaott0qQUZYpjl33FG0o5by/mIou61XPo0XBL64mPS8pxhG9xg8UTcx6qG
LyXK5mLQhBK6rfOWmSJ74crWPXTmEF3qzojPLEHAtsfO2OT3vrPOsAkh9D7c/RqlntiZ97loFcNA
ntWHRjaMCNKquIksH9dunch15NgLEi2V9LDfjbWImi9Uvm5Hq0T/i5ZGUnpx46sN6ouJPX0ok+jr
d9kknwtxWMoT+scejP8u6WzrWNpg9gdNv/YxYB1hvUHBeKX5ooSdHzXxOS9kEuYW2hNlwKOBZ0uf
D3YhjD3Rki4oWCB/jLnC9csLHDYG7dOgegxEAjqYfQwXWWzskVR5EschPbpMjZbAxVsRmm7De92V
I52ynTRD3axQBjINRUOS3re59srm2kgbzIE5yyaoZTN8uH1rACuIBgtnIeR9KHBRrz/XSz3zybbV
r9UMZah6xBGdKA4MzdjY0XaIwS0t/op+EUEqvfpoNVMdkgHPkb7cyP22jbjemlpKHb3vJ2IFOovZ
UW+2B8Qzg7g/NdZRHdtnioabh6gtcm5nxRLGs6XRIwSghWCr+KPSVM4b2xvu3KTBYMCVjAZh3ma6
RHJODr3qqoc4A/vEY703PD/L8ZA3lEjY7bLV9FoFQzKLbeyQ3sbUQmy99BGB+8T2bzXIsPsnVhyG
DOJIQzF6SXYCwQ838ZiI7JyTnPqVtTXeWjQVf2tUnMB5a6hW0LjEi4wphrCYr2DuG5jykOryT0OU
/E4IYq912/mwPH0LjqRbHwU0LmYTyKlHkSR5c2kGp9ndwUyBWxvEIlQ5ltcmi6xvjTw/gvgElcQa
nwT4v0OygMWOAftuGhSgTeMPPwmhevrdynrjuJNxH2gcyPXkmwyB5dYxP9l2dvnWcjVHeYDsyW5Q
J+GS0gIV04oNBM7LzoWux8xQR4dlYplgehW+/lBrgskBLClYeh50QbOR9+9Qmz/sGp3c1tV6KPyt
X8pr0qn0kk/44sY8OnnsQEQiJ3Ias40uXoxskkOW5UHRFtMTt7Zmq/UpfjFvVN0l8vPHvoQTyQsR
nbTeN99Mzh1EEarqanvSCpeBAdyYgzjJ+gl3Q6/pCeNg1zvJwjT2uWVEv4NLsMVjxzhqHZ5MwwL1
V4uMhmPP3JMErY9wcfzXtOMhZckGCJEQjYP4eNCzZpwfuZ5izfdiHbHNtLxwoWMCoqyZFOuigq6q
VJIFGGPnsyXRZ4Xzi/YO6SSplb8tyvm22B2tjoXRuYxe43NLgerKK4QfdA7GL5jR5Fb/EUUbm4Ce
7tiXqbUZ2g9a867oDw0JnddhB80QzErUnuJxzt5iLVXbjvzjOmf7O7bjDPhS+vdmWkDjBwwLDaGT
NDrSG9P9aPNdcJ3KuN6Isp7OU7w4O9NO2kcL418/DUlQVfHT1BnVfkSgWytLFzvfvFsRiQqiu9t6
AO6oDz2Wn80Q95LSwDo71oZmXgklOPTQQ6oB6dQdKn/pd8p2b4x1GPMAMMksL/+xLRltbQ050U0q
JuYYQgZScKu4x3kK+YUX0FjqYDBpL5lgi4ZjlhoXYy5w/djpKbGYJFat+zwxcSV5xOTbGsXfqp7q
/8HemTS5jXTn+q/c8B4dGBOJhRcmAZI1qUrzsEFIagnzPOPX3wfqa7uIgskoe+e4m44vWl8rmYnM
kyfPeYfbBtyhsDLjU0kd4W3Qz0tFsKA0ieZL0IIEApGMbFOyS1QkSf0wfmvTTfGisu/e0pJquNhm
Kd9wk8af+o7LszGCguhYVXetvUAhh+A+d2LxyzdolTVjrX+KosD5LHHJ2Fnx5Ozhk4L2K+NcPIV6
PjwNkD6iHdpKPN6F7cDIGDrqdFFc3lkOhYUiir/YNWqXjQ69y6ASRdU4rd9oGMR5gZLGxO7iydey
D2YDg1HXcpUeQ2wdjc661ZUpek/T46FKsTuy9NprUSC8NwBsxg11MNhD6U2sAWsqagHnWe0PVmkD
XQIkltmR41k2N1kfxr/LupspzRp/J534nvnth6ko3868xR6A2/ykWf4dLkT4AScQsNuBTosl+1CS
ZAMgDr+k5tgKSukwEhwtcSnPRXsHXzAbrEb5AyGWAOubfriJI7/aA34sMai1uhMKLwDuULRxi1hP
9nY1lo9zNr+vi1wegrCNd2mDGB/a1KyX+cSXXCqh9UOZquU7CvVgZjNuULMrF0Fo/29FRBGSR7C4
FjQFwgYMO4XALdUg3ldcYEDlAFFTtwfjmzflB4HOw30CLfZogYsJgGtYQdXfgJjIHlILJFVQFigC
dcjbGvDpSEal/qRGqbmj5msehrYHbz+3p2BpwsTlIA8U4ax3w1j+DRYPXPrUNjybbNg7MTIJqDMv
7q6ALFv1DbK/WNDQLKU4aH+zS6VBTjIaH80sou2QtocglvNdDlEDhKhSh/cTfZgc33d+Sm3tk1SB
lGZrQHeIkYUw6ZIo5n1ZG9lTGKXZTlsEiuI4bW8pTnbgxZK0+Nw2Csbq0XyfjKMEa118ntP8h1rN
g2tUPHB2BoXTHUSs/gcS2YtLqJG+13GiR3xb6mzU0arBUNWyA3pRmPuCYpw74c8ASNA0wCdiHn/q
KufkgA+Zctw/drba0TTL4qFk6/HERPbwd5Coloe4MeE4KkS0n1ua8XqvTG7dqF+r5vcQjICbMwnC
t4xGvB5653FEVukn5SPsEeqCNiEZEqoSsJM16rYHxCazY2SZ75oM1z2qkG/rxPlBc+d92obBrVks
VeGZZ2Q72e8jENMnnabWlzEX0bHiST5m4mPrSCRhLNi6aTW9UZdIZzuQXsIYVhuC9Z2HZz1OC6bD
a3ZHql/cO5l2I6cy3ce6TWtDL/5GkjB7nwQLfT631KMZJI+Uw4TLzTKDS7KgBmUdMmsRv6zqnFt+
01cxfUqngLKhVjzyWNff1fa49Pbxk8rG6Z1VgNRAghmbGD3hlSwDQbcqgffZ0uXHToqn5ohMfOvQ
oK9n3kv8vv6gDssySQ5sCc7F1aM24+AxAa8O4tsyS7IDG8gTYZwcnZEUWB3vBz1FTJV3+N723zlT
kjwMOSYZqQPwAinqj4WdnswAGRZMruf7aOblOqsOWG/i4twr5nujCJVP5Nw0Xwwx3cBT93/aUAL2
AlzWLY4D7lwmaGsl3a2dAEQr8RHY205hYKs0S1exhvI2FtT696ZRqh8benFHmqfKA54e+g1N8WZR
scLyjLfsr9mYyp+zUceHOoY0+P9LiH/Kfh+m8te//svPosvbenr3K4BH8LwiiCvDf11B/Lf0x/f8
XMuc////02zU/lIJCOA5QHKAa9AoQ/1TQtScv3Q8aKktAkFzKFP9p5K5qf8lqA4Co/tTJURi/D9K
iIbzl1iUxx28fFBYxEPoNSVE/p7nBT1d++NeZVpUyv5o6VOqfF4jq2iYVHm7OACgt/YWSzDCh93H
ilek5XjNuwRtyfVwjooyDpVDqqL8/nXFsrIytKcm5JAIVuaXGTTbDxVZSI5S0xUPUqFtDH8gj6gc
Zfrwo4GqQsIc6P2bKZ6EcaLt7s+7qLPix9GfAh72wMWQeezK+K3ZUZN1w1ZEKtmnk92R9WSIRuTl
cNN3KAbsIwc5U5J5VX5J/KBAPXbyrRG5KL0GK+Vr8KNtPc4+kfchDK3VsfE2EXXx5AxZz2+pkHGm
xm/jLNamJvgyU0ZfqH4EN5SXYRZbVuc4+8ZEt4/2bFkCQqlzHRJwgmGgYyg0g6fJDj81jiW0PTga
6NljnsGhtCyFG2gGi0fFSCwSQDIp+zdBzeXUjH52B4IzfhfkYHHQbptMOABaXtLhHarOh8gC/2yn
dFX11Pe2HngaAbD/FaNMKaCIzSh+FI71GOIxbhymERS+bDplAlyZ6mLnpDp0Tmwzq08qar4Rag1Z
3yPbFExvcRCBM5hPOrBpCZoIqRBwq5EzpoWrWpJMhlpaM8CzmmFAG+owfDPVCO6NHmrys07tyoBz
2mY/soym/aEwKVZQOibz2TcokvZ7Gmna2wEXReNktlC94Ltp3dt4MIQCDK3Dat7oIqmgA2X26nEY
BV7EOaZHd+xa6gkSAYQPYI54OxYZ0siQkMscUiM0tG/hKBacBprN34GQKPo+nWM4u4Lcpz6QTldP
E5nKj7geOhxCHTCjJJ0d7evMxDcPkJCkws07eMaeEnZjX1WAFSlLLEoDSOR/bMsh55ujWkZf2BT9
I2wZAL1Nn9UURcICeIji2AfcNLTxaLRm/Ssqgdl4pt4ObkJjOL2XNaUqKrtS/B1QRNcQS5jUDzlY
48hVw7qevansGzgQag0/R0v77os5WIlYgOpQww26GcCOE3v4hsjyCCZgFAaF9qIGGRpUNjIuZjeB
hYIq7lBomxozvRFmir0A20T5IWNh0/BTFOT32HW+tWto5PNlQz9uXdBC5P00Ysti14VK9d6oFyEC
A12N/KAZo5l6emLCRgTCHCAeUNGwB1sIm61CBhLEAnk3+uuzUaF8oEToJ6qYpiOvoyVNRp1XDL+d
Lqa0NsiU08zPQH1jHKoT0m8NVhsI3Ro7UAolKA11chRu77TVDrozdPRJARrtCF11geuATB5sq6Bq
kSijfJONuRJ64WxVf6M5R0Nb87UOWgh4scmr7aj9XgpyOv7SABUIXODSb8PUtsUOsKFfu34U2bQj
5sD4hf5Z1j7E5WQ3B2AHTXGkWBpZt44yBx9wi6QQrY95nWOPWrU/03Amxer6TDUekHlPQH6MvRzo
G4YwEdH8miFhi1R8mwUiPCC5av2xRRP/kw07+ENJrRrt0TBp9jyn+yd8sSzNmyupw7MCUJW5r7/G
/3e6jtjcr//1TX2gOPk9//v5zb78B/9c1QaNu+ViImmle7d0/P79qsZ0xLJ0hI1VjS72YvvxH90+
W/1LBf3imKau0Si00VD+P00BtOxf/8Vy/kIbDAMTSfvJ0BEE+x9c1VjVCMyzEWuWNpmEYy4+Uc/a
WQYKWCG6lqEnxghjXCuVw22LIsxH0sT2itPVSsiZsWycyfHOo8XHOmgrcx1oHHCx2yjyVBTTfnRd
1tAKg63uAitDsNFSULSaZ7oJBMA0eXj2RTa6jJuDY6psscyaMAzW+vlEVTLpGHxN6FWIPd/lSlIe
sa03XLP3C7fOGLqVPgCBAWb75ZEXg5jn6dA/85a2DpZyUYJbtwwN8I2VUoC0Lhd1Gaq/QGnR9DnG
BSVTEED24l5n5ncAM8LjlEFaCVAhuNGLRCDSNSAQdeUHvWi4Lh+CpAlEEsvBLztfC9p/uCgEMvTi
3O/vUx5s+AFb7YktCdRtrgq8Z7hAwMN1DSjJJDnAqwdOoQrtH58imvXb6t4vLETZE/ju0GvGrgof
uD/+1M/23+xrcCWKIvLaSYkf4jwXiMFAvroRagiroVPC7EkZGhz/FHxAviJbOv9ujSgQu64msvHk
nep7EWLN48ZOIq8lly+cPZffJ/Hq0kjzlhO38kkbybCbSUyxV8khemeq/ehRNpn2opaWVy+2tGmD
1SlVpPzQcCO5VVA0V5rO2sb3wpoP9LSJF90SLM6/lwQvH/q+jFHIRUO/ikrTNeY6fRN1jXIDGsqG
Bhg4MNqDOrlPwgS9iVHk/XdbICR9ee+scu1lL+O2h/KawABTooR2/lNALnSL1k7iweXS/4amnxzG
2G7JYWr/eHmotUXdaqi192WJSGxQYVbk6Sr8zd0E9f8WEI3/zaKO9YSNhH24POASAp4JzS9zW1aX
UC2AQPAKOp8b3uexkpZN7GH4h905/Pc708yNK1GQi+DlKBAbbNtA3UHYq1FyK9MVlSKVVw0lVjiJ
URL0LKrRKTQTqE/f7cS0r3w1beOzcToXe8ElBGnGagfFyqQgdz7GngDEeuiyZHqKG4JhlirtN7Pq
QNPyMjtwAJx9J2fMfAYadzss2+2nJCv0o9bGiNvrnWN9nPuxKa6EpJe/jwBgL9cgoBcgMatFIU6h
kdwV4Dagqx7zqoQjhN/y0ajAyV7+yi+3FSgTjcBncBHoqljdeAWBbuCduHxlqwevTR3T54d9CBB8
dmebruLl8bamZqJ3YACsYY7W8ufPIlw2FtC0hAOp0GzDQw6LH2KVirBWqTre64eyaDcxNy5aEofz
obqkJooWPGBl72DbQWWdjDBMD+MAoeHyUEuBYbWNJY8xaCQkKFQZ5PLnz6aVmI0d4VDJ6UycP+8b
Zbot+mGEXJr6ck8NEr6S7ALjjVbU0z16luVDACPb9Rvf+V1lWvcZCSTnqaLD9SVtQGsWCrLynpl1
xhU3xK2fKv6YVHDEKR+srjt70JGt9BEp8kutoJIsYJt29PYJb4arilY9AHQcrizQ9qAsELbQC8Jp
FSjnJOPpj/A7OnkF2mRGlsi3FofqVPMq/k36v/gLGcqPy59la7NRafj3UeXqnJPZz5qqdokHD8q8
gx36FhaOOCk8Nq8co5fBkoCiU1MwUHxjkqu9JmF4aD7/8IwiNrkEHfMhNmd5xdN6I3CdD7NaxgHk
Qa2h+uMlWD/e4kRawQUIopMWqAuUP8bjrALbvZ8kVlul5fNcxw0JHLNNv+FWDRPYcGMOL33oyntr
mOynywu+FU148nMn4ptiGepydT87Br0dSfAcBW9SktuT0Y2BV7ZSvO9Cp4Drpvuny+NtJEwsiIX7
r80pl9JYbeZCLVsx50BfeIvaP1rVUX9NvU0Nl14kArtD4wxfFsmQJ2iS6Aa2Zjfe8MBcfDScZC53
oe6r30GCC3UnIjQgrtw0W+vhEBSWswOgz1xtiyFw2GohPCCra4f30zwoys4qKuUTwTa5y8VUvPo6
laSxttAJrViDrvN65AcMe7DHDO15LUZ7h17MMdIxc2tt/lcL1LZGxiB33l7+Dsu+O88VpKap2EmZ
C24REMP5d09CTYN+0WZewqZD4m/yvWrUi4Nay6WvEMndrGspAHJUCovA1q5sg41zzvC8Jf6ENXOd
ROjVVGUN2vCeLvPQFQ6Uq6xEMiY1pvFKINsaSjfZc4ZmWGy41X1pFeTFsPC4mpGFdBtQPXdxC5ct
Kwf0Ni+v6kbQ1AxzgQJSxZXUj89X1e58UXQIM3uOT78CBLwEugUjaebl4GrRIniIiMzrJ2jx8oXZ
BMCWm3g1aE8Vxe/LKPBChGPfNT5AGoh40x26rPXh8vyW3b/aNUJDrcxybIrVlOnP55dIK9AGsO+e
38XGzajRlvRT2npWGLZUq6GJRxQ2b+Yw+f36ga1lQPIeZAOsl9t18AnliquLYPySamHzJQ/18Ii7
JgU66A9eLGXyccl+rz2hNiICmYKKnxCPPDjrq+VNTSzqiqgMPMV0wse0Cn6DTxcHgLQwngqcdS/P
dGs4RqOoQTQglV8tMc9s3ii+Rsc2dcKHQJvsz/Qxy09VmKeosvr6lZXdHG8xpqIHwzWwfqVUAn0b
XRkUtxzb5h4VNhiFkBPAl86hp2btlbfgyx1EHZ/joTLY8j2Xn/PsvsGyIejDrkfg2IeWxOu3RWUb
t4g5VbujEtZPCTYUeWhVV5Z17cJF5sTAMKjwKKepgynI+cBRhjVNhyc5YL4Yh06BP81jMpZiPNrx
6LwtjBE2DQRKidCXVODYJI0yJXelLcYbQCv0QhpQbne6OqLfjLZ4/TewSlRFBiN2Ptmx4Tx2wQwe
yrZM+JlT0CJvFFY5ughjYqmU1Z0GSJKW5ojRBYb6DSttPB2rcJKeVjqBeSUSbSQeIO2FiseKilA/
rsHn863NzkJxEHWPqlXBHC2a5LjRwAgcR8TrcG7Z93Pbe7mK4Uk/xQb/TkFyqIC1rqeVtleSDNk5
RROgzZT6SsjaqAjw29jjFr02h4i5+nU6/NBocMLIKxH43Lf4N0I071QkUjTrpGo04DUdjR1APuZe
H3CcmjpEkZA0cq6U1V7eDiD36fSptjAcDBBXCWdmaBMGqwi0CG2wkenO8j18rOAm60vzyp239UmE
vlRDmbJBv291tBunpVbfa4HXTL2CzOMEcrE3ShtyUmShXKq38UerGVWK+FXQ/1SU0MCmdcR/Aw9E
xBSqtqJfk0EetC37gHA6Vl+Xg8/L+4sCL9XUxRTa4jm7OiT9XKZh2QahhwiGvi8qFPz6MKrvS6uU
nq4EIbDw+lousDnosipk49A1jNWgQSN7FZha4HXjon4CgA00q+pA3aznPPkCQIiyKnzXK19+idvn
d9lSzP7PYVdxXSjqMGL8QJCLhxghIqOmJJdPh9evqGFq5HYIbEDFXF1cgakXYdkQdiIcUW8wv6r3
XTJAGfNDa1/HueWNI3zwy4NuVP0ctjNe9rbNCweS7Pnh13FeSLXCDD0tT6FY5bgdG1C5XGEp8zsH
s+UDLkSYstGncxN80pASkfa17b58t/UCE3coE0HsUQ119SPwMuLhsvyIIsqMR6QmgpMdgFYTKbhu
Pm3/2cbx9xZwX3YD+Su7wbi4uB8SuPXC0PUHy5pwo7i8Mi/TXodLRzVtEu7FxmR1BDXBC7O2KRyR
iGPSMNb5Hf3I4RCN0t6Vcdnet3GWHUGTSq+jLOteHn6jlM74wB6IeVyC1K7PP0y3EDsUn/Hh3DSH
ngf2AeC+de/Q9KTVrY93BdqLYGm1NP7RSGE85HNj14gEhCYFhtK4ch1vhT+TS5EfpGE0v/am1Jy2
6qu6BgMLifek9d1wGAP5SQbWtdCyufLsyj+VSaDWq93ACy8zJnXkICSJdZpq0/zaU0k7ls6Efike
XLTsu8E4abkWvvH7Uf96eek3Eg+6RA4yiw4T1v+QuJ4lHiiJlSJMSTxSk+rfVPkoyObdh5FO98ku
w/hGF1G8H+o6+H554K04Y+kqvRNMeDWePOefHE240R5mlhgk4nDMcyddlIvNKztrWb71YaMXJ4nd
dOkQCzsfRRS0q6TWhF5X5qoXqfmA8Z1Vu1Cvgw+ISWRXChtbQdtaThKFdE3jLj8fT5nxguwzxpsj
fbq15hpwPegvFZB25SgfyW3QrMnitL5ygLfGRX5ZGEK1LMrPq9UcE0Rz4lCJPK2Y4Cbp9o8Qzv6j
GKLfMAO0UyWM35e/39bG4ZYwJa9HJitWETxUbB/D0SbyalAcLqIsLTkqwHm3pxv0WRMRVspZ6jw1
GcKaV2a7dTwhMzJd0zIkgKnzVY5smcNbTiJPxkBO0C8E+lbUSPnajnklEmxtoOdDra7DPE/HrO+y
yFNk1mO+Bm60N0Bio0TTHhrNFlc27OaH5CnjALKyaS+vP6TkIzpahfhHSh5cg6R+KFH42UPmafdR
ouLpNkHUvvwtt9aToeiNkHqyhVbh12yaZsBdFncyAFf7uEZuJTCkceCNPlz5dFvHnrBKTDVwEpZr
UmjSxYlD2kRjkBLbQQ/oTE5lEHuXJ/Snp7M+97bULNI2ght1gPMdAqakwpYzjT0YSzUOU7V/oHNN
Aw2nmPKUygDdsbj+isdX+c42C+3gVGX7G+Pw7qg3FWptwJFdo0cpPMHJ8Ba7FwTu8Cb1bN0qr4Tg
rU9OH5BOvQ1QBVfk899qz1mSAKWLvVkig6ZUOULwtWV4tRqhAV4W89HMhPH+ygotGfxqhYAG6AAK
qXhxjlYZ/jQiOpLUyD9lupPf63r3GYjQ/GnyFVyEJ3a41lXpqdZCBNaRhgT3NlxpEm/Mm1Y1oAHT
APJAI/R83iCJ0qDN6Z/rEXKgpjou2oF1dAL9thiI2dFRRVvhymJvPbEo0uhU2AAroDGz/KpnF15j
FFYQ1rw2yh7P0rCkDeb2NrqTlF9bulOYLs8auoRa2/ZvFC0fpt1cRfEBQWzfuHIYNs4dv8WC5G0a
xLL1y6czdSwWAww2cxGguU/sfsTuElKwMfVX2lXLhl9/bpjNlJgd2oT6uq4fBHBkUthT4P3QMbmF
nhB+NTKBcE5Fj+WYB2HyC5h9cwwDZxGCzuv65vKO2/rclAD5cKR4pmmuI5tZBpB9itCj9WTe5V1h
3CDUgtZpoP2uFMvY9WHfHS6PuRG9qYoxbRJuXX8B0dBGnsdxmNCt0WBrG/iYQjLtUNxRRXrqyiT8
dHm8jUsRrT4VuN9yM+KtcL657NH0y9zKGQ/8ghcUKFwLdPf3kKB+dqU53iezml+5MTY2EXcFB4iy
GEm0s9rQjqWMMcgyOgcNMJQK0N8xNdDwxvM0eXt5ei+WkweLyoVPh9uydZ5R59NDYqqYecVDewN8
u7zQ0KpBuuOUmwqKzL5aXZnay8PKVuVi0kgQHQDR6/RNwzU3q9JEcUOza26oRVier+DvuyvVpHof
Jdp00wIi9gKBy23S5cUHPNkyr8qy9Mr52Zg6jWxd5Xo0dR1o1/nUm8GqerWlSgWHuNybaoNBTXoY
aFYVdXa4vMwv7shl1rqF8sPSDkKv4XysuCJqBSpjZaq/KKCLbBJYDi9ScZcH2pwU+KU/Axn4vp8P
FCBKxaOsVdw4USTFOahFSm4hxaz1aLJOItlfHu/ltcwLh63KJgWRblNuPB+wULUWwXrfd03ki47W
YvZbD3X0ADIu/FU1dHBjPTbvRnWE/qjk7aMZjubXTC2tQ9D0+sGGHL8rgwgtz0rmXytAzvcJtlC/
euhKVzb7i7O8/FYSItrhdIL0dbxyghEBgBKTDB/9UGhiRvhj7tXuq5ZgdIVVRl1/LeDneEj/KVfW
6cWRXobGegGlDqwAdFU/XyYrg+mVSxoWaosESR9X+odGcaxDjRjqlftwY6+BNiQjow4M+FmutgAG
7okYTCSXi2EKbrs0BqOL3cSnyx9+axS6WX96efbyYjif0OwPBYibWIHKjFYNj4XuDsbZtd78xig0
mWjAoCLNAXKWO/DZ1R5rmJJSYEYxPjONu6rKHRhR1rUCztYof6pWvNpVbu7VXCIHBI20B7wmgxY1
bETaDrLP6yvvjo0twNOK97HD65zprEZREHyihtUuPasIEl3YGoceEL1bl512JQq8GIpyOPjFpcth
gWiQq6FEacuMmpAFGQ4lq9FE1z8JEdWt4yz4eXkfLH/VWRaCJTs1P8IoTw1aZquhBnj92OcMDFXH
2m2tmb5XJxbaSVwAe/z3wkdIFh+yAZueywNvzNGyJA8cnvscanN1c9Vtl7QxsEh3SGT0mKKp65pl
hyz0rMsrec7GUOj/Ohavf04Wef35LsSzJpBBozmupY4AZtq+KGkETvZdB2N+8i7Pa2NB6e/R+FtM
Uy2ixvlgvRBVgLqn48oRqtK+iuV4V/tgeHZK09jfOyian60gifediZ3Ya8OUACrCUw5aEEibF1iR
xDcQStASHHJb+S3yKVpmARo10gef8vppCotKMaEK6tM6Fs9Y2cPEmwCDjjrifk07Ti5FuvCd2c2B
3KO2ad6aaDZ8DhD2vxIht74n0k2AQCgG8lhZ/vxZVImsXokdXOLdFM2NXVbbyOb2reUaWngNz/ci
tLCggMkcQWefvrxjnA/lAzw1IC1BZh8c7WZU5/62U0RzZUIvbv2lxQTs1KDCYCJqvBoFUbZgyAB7
uCT6+a2ANon6sJG/Aa2lIwrRiNdvE5ukHxSxyoNfXyPzLBAF0EywP8uiEmQvdjoe3XLkfIvSunLP
bE0NxD0oObrEL5FyyYByIt59kCCpNd+2RZydYpq1+OghSam7JiSe6HR5a/6Bt69iGq/3pXlKnUiS
bZ5/tC6nOLaABF27pRy066cCH2OkgDUPxdn+XaYhbryLU0QBp8qQNW7BirxVnBm5ViMxPUegho6I
TvTx8u/a2Lb8LAfoEo8Cmp2rMNQrtdEwf8nFHubfVK743g2CfjpOcpyfXj0WGIBl3akl64x5vgRW
YfrTmAcOHTt4pU2Bpu/CWt2FRqYfLg+1EfAASpE88gLhk8GSODuNdWj7Qdb60q0hTx2QB+p2xHAN
ypmaJ1hO1v0n2c1vGycrfl0eeWNBGZlbSycILLH2fOQOmYtSTkxyjlsMBnq/OuGXpqNv2VfX9tSy
YKs9JVXycT4dD2a5nmUSI5umB7jtORkgy8pstJsai+BjMpgaEpIVtGOj94+VCRhTt+PpEDi4fLx+
vjybFwwEUUmuAa7xrIU0PTXpThOwp37GvynNNc218t78cnmorY8KfIY63UJwBax9vrTB4AzthLaN
q5u28thHEy7mdJ8PPsJNrhrj3Dc3eg5NO8EZ9/LQW1/VAmkmoa9wTNZEmVpvAZo5tXT9rPyVIdd+
DAxGptEyXyl3bY5E5gNcGPDBouZ3tnMr06mmoGsliQdczlnQaETE64cYBufKl3sZBUEB4KRBrkPv
A6HP85EGgHlQ8WLpxhkAwiKCVm8NtYlOSiHu26lPr4z3cmaMh73HEmpIeNaotU4UyYRjAoosQ/Or
9iXGUV30OFbmeHztx+LlS7cBKuXSyNVXobbgvWe1aIe7GkiYkxoQU3OQGqiXXbtItqZE+KQjxmFX
6TScL2E+OdALUw1zzVTTd+xF6xRguLbUxZT/xqS4s3jy26SLzrr3GmslRgMp8gaIpvPYA8QPvLHP
9lHrdK++iWnz8UBip3MfU8Q5nxWkrKUuWgrXgMHtJg224phzNoAZdOG9+lNBKuA1ppMM0w5bjvyz
rAn+L2XnORWuVdFP2HWdr51KPS8eu8kaflwea2O/L0U3OvrLtICknY/VqdgqwhESbtnbX4DOYnAX
aJ07Kwj/kaNbV6LzyywNdChYP+a1tC6t1d5IobBWuTYI17Eb34vVfrF7TqPXFpwI/Hyqf5BZnKzV
pByesDBNe0H5gaZl1vgL5qRubqDb4laLTNe1ptryBDq/c84HXE0LSkzDd1xkNmA97zRTQcPbwu5b
aWfzTTQYkdegAXllLZcTux4UCIQNO4e7FWrk+adDoNofa4e17PJMPDh4AnutOaUnOYaLVFqZ44Yz
2jewkBBmzKfh0+t3DkRN6h6kEmjurWIyz8AOor6J0/w44wusJem+QAjgkPFVT2B+tSvgmuWjvZiu
hK9D4YBXsFhH5gJ1UDj5HEC1tr7iaoPniVIN1q3EXPRadW9zMAciqIAbAatrtYMqHqiJ0TC5MU/p
6SAIc4OP/XQCRhm/tu3NZuVM2PTQYCBCcD3/jDmmglk4V8Id1KiFfWToS8LQYF4q63dc4PFTWhX/
jWtuod8sFw/3DuXS80FbTDwaGXNCKhjUJ3pFi6d00PCPGkGmNlZfHz15/VEloaFIWWad5ZqS2KxH
TLJEBebQCyQakCFUbhy1CK+8d18WvpcFXYhTFICpzqxjTG5UKXVRNoowFfRAew2hXmQIZ//WBNL8
xrYr5eNYkxipwDZOo1a3Xh0J8zjxwrgy7a1wx+bh5wB+kyQV58vMezXBU9Ng2uUU07HF/6mwQ+NK
drQVfSzOxIJ75NnirE6GUjUhaIneclM7kC4vKvTFQqPfmbjRHISPhUUT5faVq/dl3rlgHOkO06oh
+VxjGMxK1sD8BW95jAGOJhZpnoNuxGGO6dm0KB+6QdL3NzDtrwXbrStreUnYIO1AJa57vlPG3VhX
BroPMswekxgbHF6OEXUbusz4CAqqjMnucrDb+pA8UWn68lYTbLDzD4mgBtoWxoQsozEFhwk3kL2N
jNYVVtZW1Hk+yirq+CCzozqaKfGhnOtNSoMBQ+/M+wjTUPfyhLaGojwPkIBEQ6e/dz6hwahUOUea
RZkch8VZ9ed9SG/Ay0sr8i4P9RI6yHrBaObVSXyDmrLs32f5zDymaSBbtJdqnIdUd8S2Qi5it6jD
GNj33MRJiJFtpznp3jepBqNhCXJjkMF4ZdJbX5FGGHz7RSiAFOH8h0S50RWaRgnVMqBM9G1rP4SZ
nD9fnu/WvbykiDRPgUmTmp6PUme+HzhqINyixXgKbUnh30GzG8Ld0A5KuDersPsx5lWa7+PZb24x
gyG3u/wbljHWlyV5wULqh2LvrDna3ItpiYKacFNHQf+4HeeDsPuhdgFelcdG16Lflshx/7087NbR
BCf0j6QBeOTVAhuxVbSBpBw+jjOOQzSW9lroVFSuegNxft3HFfX1IwJNA1escn8CATlf7BzXs0hE
HVZvhSqeGlXB9bwgjgdm56P/D/XzyoBbe2iBFcMiswg+fzb7s82sKL3f1VErXJ65WP2aQfEGew7/
2+VpbR1PuUQaKhlQxuzlVzwbpUoD054M7ktAjQaqaYH0UKLGy7dInA+Xh9r6ZlQsHUDrUIbIY8+H
MvQiM/qBQC6Qo8FXQtHh4WLiIUsQ/PWYTVfuxJeAVcLB8wH18wELNIsm2GcWAuBJf6chGOManZnt
RYd5ZVXhMms6Q3JQtUY+VGXyTQ618ISDdpZou+h4efZbv4b7mUI8SBqKu2J1WkWt1LmDXIw7V3n1
LQIlW++VulSGfaRY2a9iwFjOC0WQQLnCHldhF0fZPbIVmG3NGGKOp2lum1ejW2jwgO4hq19yUM1c
r1FjdJrEjMedoDZ6Y0sttK3F/TQipXN5ATb289lIqwNUxabui5qRNEX7XNZJfhxnRVx5qmxsZwYh
RVnawUxoddtokz+rRjryIKstFPzqiXQz9Qe3CaJrKdfmUOAb8baCD8Fz4Xx3zVZe9F2n8j2xFdwl
dFluy6T6MBtjeSXt2jg4BHhaK8h1EBHW768hdgqY81QE7NpsD+mg2wcV2NtJytz0DCuOr4y3EdOB
49DiIM7RWjdXX6qLFVkaGZFnsCHdRI1t7CdET09hLBcN/iJJPtoqcrNXAt7mNGGOSUosUA7WtVtt
cFp7zEmnrWKWaLuK6YnyBI/LZPbfmLU1XzmRG9cn7UZa90tFB2be6gOipFhjKD3z9NLigRpLMXtW
3SHEw4nI9zLvsJsPJonLsNnsQ9RProy/uczPxl822LPQG/ddW84ERHcwzfmk48mAn6Uub9saUD/S
lNremhDOvXwKN7Jp2rqwKshOaDuscwapBmNujqntxkVTnkLb1vdJoYInqJzw1PhNemNgrLtHVFG/
cv63pktORB5PqOECWP782XSnuKzxQCpsF3J4eOQm8rHUiIx9NOFiPCdddeqy6tW4K8Ib6QkFM/qf
fOxVeAPAkXBJc0hjSWGQx0Lmtmke3xNIrymYbMUDSiQQRtjCOs/58/llU50a/UTdcxYBDOTeavcT
+j2HXpXqlaXcOinPh1pFuakXWm+lNonfzFLKKtZOKaJou6lEYc0iETpc3jQv2V8LDIDF+nOdUgVd
VYDsIFQaanc8L31f+VUNwrx1ktrxbJT0yaXnEMVVtUaRfh9PfX9XGAq8r2SKMC2Ph9pTIsxnE7wU
Ef+L5/fGoNhfLv/CjcuFbYUlzKIqAoJldZalMVUp8gs2FrtIspIZ/xyCqrq5PMjGF+Za4Qr/U4Wi
Zn/+hU216kp76GzXH+D3+ZYSH0dUHZHuta+RlV9KDVAofT7Wqm4SobnudD7qQuj42yha17OtuYrI
p5966DS/cAFotUdIA3bmgbFPvoqhMYN9GVSJsk9CAVLMpr1ge9nYyV1bKqJ+9U276BDRDKJOzQW4
DiS2o6idDyrGFbHS3g4K5iJpHWleOFTyymv15cfldcGNBOWJqg45//m6K92cqDJGFrpXsFAdYjHf
lMg7vjoyUmUma1he+0uiskpPFdEa4azEPFRJ0g5yLHHeFgF1nSQdJ2iPZf6hGbD40ek4vBZHxPOJ
FxzpF61ZWomr41W38FTo5Fnu/+XsPHbkNto1fEUEmMOWzQ4TNBpFW9oQSmbOLKarP0/pBw6mOUQT
kmFrI8DVVazwhTeEPS9Bp+k12kTNdMIYJgv+dA8zFM0yrn+yNpKL67XEei030rxBl9Mr8zeYYKqX
BXPBAxnM578YiYxCUpZcOej1SBKPjQ0oqpkDFkSAp4UUXOoIayfN2In0Xz8t/P+Jj4gZiFheEQnU
qgJGjttc4IRleom65Av3WX9ypjQl4s+QbGyyPfbC6zv4akxz9c2aWUHTo2PM0cKZXHWj5AD8vjkk
Ux2fkmwsdua4dQhezHG9PZfJ60d6OYyHnt1xcfQG6XjD2znVm7PilZaVdvLOtTrd0jqLUYYW0H7M
A7BqbFzo1wOe30imXhTbjc63N8nmeNRq4LYR18Kwu94k45jbA7JMZhCrKRIBc+eeXB0do6agghlZ
6IreHk9e0dflCr4abUlqMsSYoLGvxxN9kSfUSdkpCPufVKtDgCqep7dwzOODrgv3oOAnetZbI915
PLZmKumbxFx0wF5lJnbbpWOXeibin310adOJPFTpy0s7qRi1zMqX2xPdqIXBXaVlzpPNjUIydD3T
ph10HEGohemxEt4Bt6nuQwtf3xTR/cCwcnEM0Tz0ebvRjTXKf7VM3Sv9bU0Z0KokzNhS/Wx1b/OS
zq2GYnvQ1052bKzUiXy0f607zEaiu1nJ9mA+rx9o5qwBAHPoqJMgrOYsam+M6Whbgeg4+digxThD
1IjEhtW328u7OTUGoxok5YfWKVKTJ7ZoamoZCIvVRxWjJH9wEPoS9pRjEaJHO7tno9fAaOTpLpVN
HS/d1cY19HbCypKpOXjEHbVoUE9FYafUUoXu615S3+VKhDfFPJpvETzrzoUXqwfDzrydB0QOtD5B
vFR0jOFCAdCS99SLMF4HHNrTbbSIqB1sod2IP3pVC4ZGAnwaWN0X2DtKvzPs9n6WxV1XtvyBJ1+P
m2cix21A8G3b3qOQ3Hb6+9Ey8rueMskPQyjKT2tGZyF3EvMZ/y5xnkZl2CvKbe4w0A2SGofiwpqJ
i+G4MS1RTd3RywR2zln8JczFhyhftNPtHbY5kiwvAKRyYTOsPjgMVaoBIeFI0bvG+3AWGCmZSne3
UODYWdutoQjq5Qml3Ei3/HppG9WOZkVlKH0250uCnMDBEWl7mpN876XeHErevoBECdTXvPqoVsxu
TLiVUrKwQwyz+t8ly1JsqYfkx+0FlBtxvVElAIXYA+ALUr/Xs8rz3m0XSzNxE/bab7pIeF/MeI8K
unERIKsD2hU4KLJ/a1RUu2i9JujJBxiNt0dbtM4Xd2qHR8XW3/cimncmtbF+yEFJJC+ENCq2q0+l
5+M0aIo0q51rCGGZ7QQcQ/cbdsAot9xewM2xIIEA6GXIV4JQEE5HsygTtgU8EDjLunPfW+Z3A8vw
T7dH2niVeY9J30jQJTJx9an6kv6h4xBLYZBomCdhGdE7W8OZxUdytjXQKHYTYIuecg+3d9zZ/Vs3
iwk8W1Zl+Yw0c683Smdlet3NxASj6qSnMTXbN13Sm4HiKv3HPMuRVHBSHFUi7qX7Mh3qI8T07J/b
S7C12PJQsIvQTaK/ev0jpirEx2ciWu4Vs1cPDR6F96kLyQQUQt3t3C1bm1Zqrf6vuked9HowGtP6
qIYFqU7mEWbh4CD9YMb+1IphyAJraTAT+Iv5vRhSboEXz8YUz4OLiLoVeObQ33Uazo29FrtvQy3Z
k8fc3E0w/JDKdQj21rhMY6rUOG9IF6eqREyVdKs5T/CUsGZ0HcWn0J19Cien/azYo7YTdm2NjZKB
KxtE8sFeTZMOx1g1XBhBVSTao+ehlhLpWnHw7NY4UtsccRIrviVRne980q39w+bhaaLPSnXNW63v
0i/YW7lmgGGYenaSOPeH3DDP1TQvxz//lBDLoYb9piTbqzuoNFE9WWzK0XbV/yydzHou7Lw7Q3yx
dia1tU9NjeI6obqHcOwqx1KobaOAV9l4tMdtMHSD+TxMLSzGWZWKO8732xPbCrJAyNDoh+dN63Zd
4JmADqe5RMi4TRh/y7n27mIsyB6mUC+/exRrP86w9AKlgnCWKKP1rphpHWdV0u10VTfKP7BvuQ5l
yV9OfnUdJN6gC7slvnTJFnylVebHugK+vrTaF/xka0rzdvLQmG10V4aAOj21UNlkdk2NM0MhLMpp
iFrGHjZRXgyrN5UrEjYCJCTAdWsiWlhZlghHnu9MQW0FkAgmxWpk+F1EzDBMkNOQoNyT4N54yK8G
Xd1WdY7sYUiNV3J1cOdz9O4cgjzfeQa29ppE8eC9ytenonV9gIoQI+FxTOwgqfXPwkms89KDE7DU
9FEL1fLd7a0mj+N6IalXyEo4A1LeuR5tVnQcBNEKCdSw0nw1ifC0LuzxKdGG4hKp9XSM0lH1jZja
3xgWyfPt4bduC8tiA4AZguuxBgNjyDc44GdAZSVIWIZd0vmi1aODlcTl+W+GAgYBZJy4ZZ0vLCh9
4VLCUDhgTRfE1MsjGX/zNtXMveB88xPCKqHi5P3mZV4vqhVmdYHmKL3sEWdiuA7620aMWoBQH/JR
NbaffzG1F+OtNibyjXU3olAfeLWSnxbYJwdSuAXLbXevbbM5NTrnUnaJjuM6+3HdOZk6CnpBhAgI
zqku1udpU+d4KZXN8MYykz+WHkXrgGIaTDyuISgzcgu9eLDtgoId1kvcvU3uHAqRSNtce/G9NPxj
KvVqKDn5F0M1nZcIpgTSYRlxr9OECLqmHHaqyFtHjgIT3XeqyFRFVge86wbp/wQdzFC8TsrMu8LP
8Ou8z/VIPVsxAWCOve1DlSz1N92bumVnu2z+AAmGlHVelEhXr1kXhnOHuL0dICSCjUyaAbgwhsH7
VVSmgh0E5x1XXuWkKFEeaG6yJwywdeix4KAZxlOKJs/qTalMdJEJ8OQNJ3Dd9uq6wCY2do0P05Kk
4eH24dicrWQasdqoWazBkVBH89IKGU3vtMl3wlG8XZDWxM4L0SoMLAukGpXo0ak1+81iTXu9mq1A
jE4BpW76VhSEVnuKdqBWCovrXPPiIvXVsfwi1FT5oFlhf9JHPm421P2hLbpu58LbzCek3D+VL5In
8OfX23lyOqG2E0ghTxPLjwHP0BOF+OriVgNe9qioPTpK1fqy1AE2FcoH1ZR6r5ux9WhKkwO+NN/c
XhODDKWDGI+VaUAN622Th+hjRuG+ncnWvUTLE81XKWoBvfR6rnmKVkiqgke31O4/M++0U1zXKe7W
Zn+kUrHHud+c1e+HBHgkvZr1Fi5zFzNV0JGd2aaHZaLzZC/zXulla+vKCIBaG8RugsHrSSlR52WT
IPFt9GgyDkrfzm8w5IZxNCOGhpt4p0f1kYOO3iopshYFwsmnv0Az8jyDd6dJgwQQkh7XPwNRYGxP
NCptobZE/6q8NP4wjuW9gjllUEWTg9GIqE+qi/uoWeTVxahFuIOF3/q+L3/D+tJU0ybJOtCbyUyn
WVni9lHrCv2SYfrlqwDiL7dvja0PzA3lQGmDp/SKrWyLybSdiJKxWVXjpbJ6/eJhUvDh9ihbNyGl
BrR8odkwzuqEjjFVSxqOVjDitvEj7Buz8N0iHxLfG8JhD9eydRW5pqzFw7JB1Wi1hppw+rlciF8V
LMJgmVqefl8nYx4f3NjAhqnXEmgFpd2nkd8jIL1Xsd2cLXED8qRcBmgYXu8jsx2HXOlaSgsWzr11
0c2XBcwSdIZp3Mlb5MKtw1q2paQToYsBoux6qGyc7XKhdxMsloqJtpb13sFR5jLowXIeE5RZg2wu
9jgUm6P+7gzr9FdebRqMA6O+kJ3bzM6ru8rOPlawzs4qogwPyoh8YBlxUv98C1GEoxD8G2Cybn9X
WAr+rzgWV5N40+KX+Ekbkv4C43TXM2rrUMiAlrK7oVGHW39AHZpb5KA4lrdpdaqQ1XkzalW0c/S2
tqnM2MBCSXHZ9YwGLNwFgsJWEFe68Z9VduUYtIjPn+ekNAN4hcl9j/YacKF83GGmbO1QrlpA9vzH
wVs91qaI9BgbapBYIh7uujjHUprVuI/aaE9+ZHsoKAxEQGhsrf3APK0BtxdRBkZLrjjOTv8NO87h
iDBCvxMAbYxEPoltFNr9vMTrS6YdJzylMvCejkiw1MZf+H4YXSvHM1AY5z/ejeiu0/2GCUzxcH3F
dJE2THiB2EE/R0nQm5qCSKs7v4kzssvbQ228CAwFxoktQp9tzcW1TQhRRkqNJKqE8gs76Mw3sCj/
KtrGAVRb7AFUNx5j2l3y/kTzlrBKbtsXyYGjjVmi2lwpWuWWytsRJ/SPdYhMmp+PXT3ep0mdu6fJ
bU1Yi4uT+8o0zv/envPGAfxtjUQlHHQIGdj1b3DzyCBYpvIjTDv9NHhiOWK/rf+6PcrWhqGwD72T
wgothdV73y5kr2ggEtxoIS55/Zj8aIRS+SFhyE4utDUUPCHqDuTK3GGrRc0rr8N8cDID14vbi+E2
9nMZEdnY6q662+ZQvAgu6rl0sdaVrFmlujxBEAucoV6OkRfGd5mAyi2cKNkJVjY+k+xTeEjGcxBA
T11/JttuBXRSfIUGI5lOuMM75wT33J1zvXEACMa4+ulgSdWfVRpnChdIiXxtSJH7o6aL+h93GIsf
ntJ9dzEf//7Hu0JqcnDvo4XPpFafqnWdPKworaJs0tVv8UpCh9cTGJVq416gsrV+SI7IVhaeWdoa
hsTj01vaQnMpaXXt4jaDODZRZu6s3/YoJsxcj5iEfPT6K4V4yda0cE0igaq8EJLojy7MuctfLBtd
PyAeUA5IA69Hybwet7WGfkqEy9pJSYaF7H5Q3wxO+u3PR4L4wiXP84w4/mo+pdpWPaozVN4703xS
8Va+THOcHDKbDuftoTbuQrR8YOHSF4Z2uPYiLMqSXk5HJFlqueYbUW34WqjEFyV2/jWUPDZ9/FTU
Sysm5IWtjnj29vgbZ5leIF0y8mpe6TUMlBgL4lVJdA4PWD1D4fxUmRWly9hY5s+3h9raJYyBBStE
IaqHqwKpGpZZUSAZEJhN20mx+RlpicbT850pbS3py3H01T6p9bGBCMdpnjvxxcHe8m6Z3QaGY5qf
Gmfpz0NRW8dYwVx8Grs9a4/NFZW5Dghl6s7ry6RPa3vsO+78ZSzzRx0fiw+Ousy+FWofby/o1khY
aMowEu7JK7m6aVnomiQ6DTiRZZeyar33cUeWjmiuvbOmG/E480EmhFhSQv/kt33xZE/e5FZ5R68P
xYn8pydM9d7q1exbBKDhHnWz4smajOEvDjxNCfq3Hg0Ka90A64BJ5ClymsGcZoYf9zRFhjLsLx5I
g+D2Usord5XlyPdFVlYQfmSLruZnaHWLE7UZNP1EMpOFoj8nVZU/xIYTntreqp9RjFf+89Rsr6yz
9fjwutEYAlQF9Xg1dKvr9aDEMb3NTIfKWNHwKZ0l83kjjGOnlu1OYLk1VcI8ahmShAa7+HqqSmL3
s01wDmhft+4GlH18fcJUuzSiTvYWdb/qy/aYxL043l7krQsAciNdEKnThv7u9cgDfIRm4egFjNcc
vGmKpcd42ezc3lvDEMvKWh0Ft1dqXk1hpklRy757VpjfKvwVznWuzTuRydaJIGSQmqx0J5jR9WTa
GCJJFKJHtpjNc1Vk1rnuCuXs1EoJWtuqD2moVDsHYnNmPEfsU8R6Xllr9bXR6WbCzOgK5sGowz4f
Fu/n7a+0NTEeI/Te0HinHrf+SpUSe3SSUJXRVVou1dj7iHR2B+Lzzk/yovZFlYid+2VjZvLxk2hf
iPevBHwRvlYrdVagP1hCDL6TqvVDOyXTDip7exgJJybkB1G4mlsSR1hH59Tr8SZQftWzlX/Samev
m745Cl1jcN9cJ2AWrrdGXBg0JTKY+05tKxc7UubUb4Qwd3bgxjuHjrd066OqBpxsNRmzGCo1FbTh
LCc1n0pN+R6i5YtsvXGfg8h627fDV3XC30Ef3L36zMbTg6YjvSQpW48U4WqKWg0ooggjKb4WeQ9l
16Aoa2b25LfaZDo7m2NzMOR4Ja+LN2jdWW1Qq27NRLZ5itl7VsPeOepWQbtYFXU1HW9v/83BWE2+
HkxdIsDrjzd0UTSDsXSCqql/cTk2H/AexexgSfbYRVvbBDYr8yGgBSi0GsnslBJphJB+RtG0JzRJ
xsWf8eza62luKOUBoaXIJIm6XBxrskU+qtTuGj6W2qJYWc96/DjUZXdMZme45BX8vSAfFyNo7ASP
xWmI9OcBgf5TQm0+OrRj3kCGtFHxDm4v9eYGBktMIQWrF0oK10utofivLAKGj87T+jVrY3FPilwL
v5lEeGI9XA9pGrTo/MZQs+RgZ0Xd7MTfW5+bEiMoG1nJhe5+/RuqtIHunrXALUgE3kDtF49pa0+n
dtR3Y+2NmxUcProp4DKpi61jbS2xQmFQ0KBqG7t3VV8p59kS7cFmy/2DWuB00KOk+4v9TI4uQWhE
8q+0NtTU7hylAFSYdfb8WR9xrvW0XHwtSGj+4pxSj6YC5+LdBlTqei1bQM456tFcCjrq3H6oh85/
mZ4X5Vk0rWqebu+ereODQC+EVmmgAxjherQBy4w0itg9MeDs7Dl3a9SqzcaZ/4KmQcKJFgMAIjbI
+kYQyL8oZFBwxJb6rdNq7o8GeZ//bs9G/tpVAIrLGTwltAdl/Xk1m6i3vTYMueNUasEPSNlrzyF0
wEOc6ALj8CnZy5K2Nr5JXVHWH6jVrHWu8G+OPECDiB94rX0yCmB0adaLkyjDPfnxzaEo4RBY0wCl
PnD9pWhNDxpOGjC4FUzHut7ILu3QDMfKjffQTFtXCg3q/x9qdZyN1nSqtvEQdTPgJ/Q2fQp76r/0
uGmi6Dx5/rhoyzE2294vUqfe6ZVsbUnAemihgQfkwl3VDao+tXSLdldgdqb1LoNxcirGot+JAreW
k1yMUInSJZ9QXjMvc7GcHHpMwVZkc9Re5nDGdh2I4iNy4uPp9q7cfDogFUsS3e+UdvXp0qgCM99E
oIoaLbTu2pws9qCrQ+v5CqKcyK42EffzFFE+frKXCOcUrDWqxrdnW/sCon8662Uz/hx7U6l2ftzW
asNpBwwAr4kMavWtO0hMuWbIur9Z1J/mCowHIN+/AM1gMk8JDaiTzA+N69WO4jp0Mw3mvGi18OiY
3bdKbZRLpC1/c31KSiSBIwgkyuPXIxGRT9aoA41EfxgrC7toETjIVQ1j0owa0o4iwOYuolSnaQhr
kZXJv3+xi/ShnGotk7JzVhN/9SgTXtJc1T9mYW7vlKa33j0pd0LlAAECpFWvh1LhVcR9IVEyMEmP
OhlvULoj9Wl9jvzRGad7xY6VT7e3rvyfri9UKfOEcKU0+1vXJLW5jE2INJzFto8fJ6t2fK7WuvQb
r1ODuhv2UHGbAxKNkDj9hoisFjTEYMEtqglNO8zUEQDRvO+NA7Fn6Iz4n7gy9hpEm6v6W/mYnSHH
vV5VBHIUb1bpsEUYGD7lRm990pRCnIbFyNE8aRL10CN6txdNbp66F8OubgQLZmuPZxM37KjqhzbJ
axph9R6pb3sxeZuAu9DUWNf9C8NW9FgKOZQkGmScloZ/rYXG9AFqCxZn5Ibon9/eMVsnQqpla79z
Nm6U6wXN2qwbQPnQsoxN+6mbC+MYjabzJnPdZCfq3FpEsKDQAgiU6M2uhopUDEYm2k+BJZIs9gsV
HJePVsJunra1SahrYbpE/AoZaDXQTLep1Ar47d1Q4fJR2f1yCrWxqY+TXmK0nnvu0RNN/+/tpdx6
hh0wsIQ0AKbIUK+XUoDpiTJyqyCGynJO3b7/trQpWIw4MR4sQ7FPNriJA5ryLbxX09u5cLZQ33Sd
udvgZVIveZWBV7k2LiBw6DA2yNpBsKmerRirPh+Xda0N2mUYH3uzxhXdFCPAyxFo/OjXwjWRCXGb
aq9HvfUdAKFzHckgD5u56wVBKZuPm8toq8qNR/Dc0YmUOQu8Xi1Tf3EaLUAVqNpZh81RwW7wDzcg
INPrUWHZD6PoCSpTQ5UVxcr4lWZT+oCA4/JUJZTfoFfuSYtuLj7vipS6UyWxcfXx6UThKoWmXhCD
+Dqh0tYdurKNn1F/cQ4x2OEvHhi9x5LHDh8I1SZWCJN/3A75rdu7cOuUSfoROwHIlbkOEHQntgdc
dlj0IQ7P5ApI1KnGXga5PQrUezSEKaeumU7KlAPdFaTx9rikd4Y+5o92aik7l5O8VtfPmRS0YQ/R
MAfTcf0pp1QxjFbmB96Yd1RdbPucTtl0HlN9ueuFU/lViPS9ndbq+fYqbqhcyRY5JCpyEyB667TV
ERpKtHXmMmomnnVXUQ9hXsyf0YMfxVGB7S3OWWbotT9Y7viIs2mGhpv84MVkPZuNlu7BbjcXg44H
Imcq0phrAcIqbJB16ByH2CWcvxuTqieAvVwcWvQaadt7U4vQwGkN8xFJ0j2Noa2niTyQ0ihVbHr7
q6OMU7BmRIv0OggLkT4pdZcHcakrbyMza4YvahyZe/PdOscyq9BVKjjSLvL64xNbJVY3Mt8xDD3r
jd47zjsdv0L1nT41+nM29+2xsxpjJ53ZmCkAfy4sQLeSoCt3/osQketxTuGUoZzuaOnbXOf4aktR
/Oxa5Z/FGsqd4TYeDdwMSEfxx9CkMvD1cHNWZQ0FKPaZMOznfG4xFIJY+tUOS2M+zINnPqBYo330
SukRvyh7+tJb06U085towDZf63TOeRspem66shUb1r4yIFvgZxRQvy6t8GRI5S4/d86WzAhXx5rs
G4kLKW9mvTpbbTEjuNL2TjB1dfy5awb97IxZ9Az7xv6ZZKLwZ7uvKz+xlO/GbPQB0vz6zjW5cZr4
DYBxEPMF3b3udnd2irvCNFPxdMrl3No12gLw0S7h4hS+bUO9g43uFKesLdKdW20j5CJ9o6cPb4Yk
a62AIQrLBijN0HORzO+bvnY/061277TFc//bWWq5W18tNdhpOhqyX7MGyBQGJY8YcZNg8Or0iTDA
++XgvTodvFjHYjZMNb0iGsjaJ2eMlNqf1VLVT0nE7/NLNe2qY0JTCUHFroi56lq93vsQ27+QnUDp
gIdz3Tm2FREXIkuQ4Q2dOcfypi8eqR4bl9srsTUM5TKJCOFfvAquz1ljVYVaJew5LYzjKpiTCrRc
ky/5h9vjbJ0nVhuEF+gC0sxV9GGJKu09A10y4F5ZdNBE2nxUOz30e5IVdF2i97fH25wX1BYUHLC1
5r68npdmZOXsugTViTuX/4I2UH86ttjDumzOSgKfABszp7X6dVeXpjo7qDgVyzI+mVVKzwMJ7qBR
nP4dchV7R2Tj7kebwORcUuYANrG6+yuXnl+aTk5Qj0LJDyqaG+XJsOI+OsSLKKJzpQFeP2IGHf9z
ez03R6ZOTT7ryD9WD51du9bsdeQOrpKlH2czjD7yVrAx9drm3S80KoaVMge3R916BejzSOkY+oCv
ioVDQxCupATt9eAZAmDU0r2pMz16C4EP1q2WGkpzShIj/hW3iRcfaL3Of1GJQZYa2IGU4QXftlpz
e9FKhL6pmZud1tBsUsvoi1dm3uybU7PHqtnaUJSxgACBlMVEYXVMOs8SBHGEV30eZyf8NjM/tOfm
sYzC7wsJ/c76bn1V1L0oNBM60X1avbKuMY46TV0XjqvxuIRGeymF+taay+bszYDWW9Hs4T23hyTX
RQ6AfGBNXAlzxS4oEOIdhLwY+KaxgQ3fuzMqjYv3tbLT4gGHJGsHgbw1qlQFAlLBsnJWr68DPXex
fYtVuksG5YlCiZWjYkX9XbSk3ncbN5MDvlC7oi5bX/PFqOtg2UZSGDEzuhLK3KnPHgpgp6lQ569z
adbqgdBn1H0hdOoYdmI/KbowTw26jYHWj4uNMBMoRztWjU8sY/chSqv5CROB/vn2Gdu6KdHWkk5H
2AHy5l8vjaHMUVfRhAjiKVrOlVeGT52Y6vPtUbYed3S75WF2eWrWiVE7h2pm0QMKcEAAwVyU5kHN
bDUghutPfz4UbAwqjLTXqIvLr/IiUtVUXJq8nkhV8wbMpJXU9FMqYGfEp5Kd87O1dkAUJNIRQdNX
zhmFTZBWZi6Q3jTPTthRKadcd4adzbu1dpKA9Ru4CYJA/ooXE5rSDENsQ1bZivkXgLzoorfLV2rB
e5CSrYFIJ4mqdGkxvHbZq1VN1HkDWk1paZyFmTEezBI9pywi2v/jj4RJEWwEWnakTesWV7lkaT5I
qGMFKfQBRfzsqIM7P0BVbHdC2o1ZEeMR3rCEZC5rPQNTz0w47IDnlyQJ0aUX2amitP59QT/+L4Yi
IwcTRxOCNsHqS0UDqgEjRF6iHKc+U9iPj06CqkGXansV361uDPmf5OFI7ApCONe7gjwo1rK0doI8
VauzpjfKIcFe8jgPkfBLasyHKXOaY+cOsx/OEXS6QmvO8TKVfqyK+a4rrXwHUbNx39HwwsVUSoDT
/F09J7Nb5q1eMn1VJE3Q2wMMrEojPtbt5GCNYk9ydnM8NEDokdqQo9fBK082BmkN8Ix4VBTwo5q1
HOd2Mj7PRmhcwrjVd6LYra3kUWMwcTOHpb02yBCdgezhQBSkjPX4K02r6G4kEjiOhdfsAHp+d3hW
KQpFJFMWhTWZCa8WMxvzENAeT5aiVYN9qHqW9knR2g4VLnrr77CLtv9L9K4VgcJ1GvoLkTVqL2hW
NfAF02nwZ4uEMcAvBerx2Dn1e2JhzTnGS1uofmd5y3M9gnE81Is+fEphQZT+EuUw3OHrxK2fE8vH
h8JUyqc0l4ojqip63Y8ibEJ+VtqkWj6O9sI+xQT1EYTbZqCm1zTtu3ypxS99anPF72sbGbN5LtXm
oLZ9NR+MuMnejUsl6jNSeoZ6TOtOVwK7LdoPaapbP5amst/HReS9b+OwXYIOubG9nsLryFL28HDi
wleBvveaDWUKxEcsbQCe4Or1v10z45iTWP25sazy7DnoctYe0W2fhhrPofrx9u33euPK0XmdCIGk
0MrqiRJYHoV1Js9uF0Zv8G3oO5901HpjW0NnHsZYd3/+xYggizABQ72YF/j6tshm9o3mQFp2uZCf
bFAgh9k2qmfNietjV/fuzk34OuCizkqignosM6WocT1e5VmxPg+0+Xr83dAwifuTobv9ocIbgAxa
m08pvKmdZX19PBmUDhEK49B7gWlcD+plaVQY3HqB3dn5535JdGqRg/UUghzeeZPlTX59OhkK/R8K
jxSTQX5eDxWlQhnnkPwy5jAeikQJ30apau3U7Lf2yctR5K948fInszElpU31vF4U5z5vSvHoZEZ+
iAfVSn0D/aO/+Wz0oIDzQbTh2bweMHS1XBm54clg+/5Y6Ut+AFg+nfO0Be8Jy/UuxYnyj2MB1lKC
MCX4TfaIrgeFvWlYUHroS/Vx9942k9AX4VA8j80uOWVrhyAFBscCSVKqEatkrmpE3ykWx16YJWol
5tAc0JK0fdRh9lSNt04ATslSGAUlJZ7q61mRWUjhCwBeUY9ncjlY3oGmXPgJifb6jb2Mlm+7xR61
fWvD/GaVUzWlO7AOq5KlMdpFZykTwIPjedKS9t2Qu/oRrYCmPzRGiR7B7Ztlc55SRYRXEUUuV/79
iz2qoufRdy6AwqZJ9DscYIcArmLzWMyQfgwMOM7oElTnvxmUlFwSdKmVro6f2bsJGkjAXrpcrSDv
91+FR9wdK0p/UOZsPGSltjfR9drCepbEGEI7mN5c26u9g8gMDMUsW45UYsugyyLsy8MyPtRFPQV6
4S07pbn1E/V7PIJWqADcn8Su1wsbZp2nzkOyHMesb9/JntM5zUbxNQvn5h7soHuu00h95zVVeNC1
Bo2f22u8NV+mzOsoFXde3aZOLehk2BPzdeKvTtpO7xJo5b5tjneFEY+/bo+2NVuKPPhhcn8DJl6t
bk1qusQ0l45RqON1NDfxfVqXanmqu7n5oCo1XDxtbr+EYsof+8nVv94ef3O29Ijh10KNI4K/Xm2s
/5Sh7YblSIHCRXrCygIz7vM3ttA0X5nFHkXzlYyI/LwIAqJHRiGPtrz8QS/OzYjN4hCacCazvtQu
y7g4P2VSdu5Erx3NuRgDpVb0o5gb9cHUsvhDDGZtJypYX4f8Bs6OAyAAmVtgqKsHc6Kr0fGRl6OZ
e3MwAqM4pFaaH1I4Ssfb67s5FDuJ/ACEFnX76+kuY1ToFU2TI9oo4smMc/XUl2r9aZjKPZ7jxlAc
Fw4p+SUd5zWacekTy+067D6ANdrvbaMgNRiz9KHIlJ31W999rB8VExSpeEvAFa1tY4coVYBvROpR
z+04UNQF/b9pVr5HhPVPKVKThl+aRbcTFWzNzyZJJzTlH57N66U0qIDqJXZjR6dTnUOICo0f0gW9
a9Jd38GtXQqiiHMBegJO4nqGYc8ULU1ZjoMn2R6TM80UBlL7UtD4+DIbWf5jcWcHMV5LP2lL7aqI
4aDIuHMXbSy01EOVtFwwMq+4Gjh/CLftFfXYZ+NnJTKVe4saGqKs5XyKl4EGTQ9na2fQjXUmfpVF
JIQQ4aPIv39xQpfCynU1j7Qj6Yl21qJIOcXWlLyfyHx33rON249kij4CkAFqv2tKXVFSedfsTDuG
WuMeXf44uxqi00mhz8fGqMWj5yKRiBFHGVRiynYS99czlcIasAZxNJf3wOpwGko1qYpVascWb5Ng
KqL438jL22COluXu9j3w+p6VbGeSLukqQd1ide0lRZu2eIhoxwI40sEpcnEvVH25r2uv9o226z/d
Hu/1ymoqBgVgwrkPJEfl+iO6bgubEKH04wQPzG/Vcbh0Tv/DEHX2bGlV/aB0nnav8qX9pS7z4Pbo
Gwsr5S2JNuHiU+5evWp6mIdRZQ7jEWX48kFJ4v8Kq4menS5TT7dH2pgn0QlqVFQ5sPxaq1LNtpjd
2eUqmlp9Olaenr1HfH++i6ySgvfcdw9VhLOloqdVYKajt1Ou+M3PeJkQ0QDjrkWchZ0KZnWNSREN
nfmuHOajnemxcTbsMFN9Mj4d0XI7it90FCO8AzZd+g+31rrxJFuC6SFR+/RdTupUvG1x40z9WI+8
+tBbCX4+km0yP/TE6vWDsIueGhZiVcld3qVh6zeNS6Urc0R4zouxrHc+3esrh+YEHWLaWMyNbsX1
xqE73mhRX3H6Q7c6m607HbValYtH3SSP6oTbMKzsX7c/4/aonEBdyim+MjQq2hxNa5VRk0LoZ1h2
47mfxfTkzWX/XzuRthdDGX+7PejGLgVr7ErNT5S0KUxcT9UeldKbcVM4WnnY+xhqGHeOVU7HqXPt
nW26OZRDK81FdlClcnk9FPg+o7V7Rz0mXW2eaxDQB+5g5YCOZLHzAeWltd6RRM/kJIwDNmc1FELL
RVnFmXosbDc7GEk6n+3QTXxVce23XugpRztpH6jft8c/X07iOaI7cHagC1ZR1YiL2lyD+zuqE3RC
W+drarGDqZtmRTvHbuN95rTxQMsniv7N2oOh5kYHPJMSgUCquQNe92VevPZUlPQ6MnVqLn3bt/eT
ASreL9u0OYC37Hfmu3Glc+LJ3sHEkxetr9jEiWxolC3bR8XjOhWFuE+GNP7RAgl7rBrEXXYe5o0B
pYqKFPIFIARI/noTGW4U6UbTzEdhTtXHqEqpcEdReZfgBHdUSEF3xnt9KCWzkYYSkQu90rXXRmZT
j6Pzrh5dO4kelNIVwNmMEDmG2O5OVT4NH+fO0T/e3kav9y/BjjTLc4h76FzKG/9F+GGK3nDjimUV
AI4OsrCFA71Sfo7LtnyAVPK9rCTwzFJ2GoKvjyh3AV0mFpfPSfp5Pa6REdTNLS+mbnXeu6zPaNBm
SX6fZHm8c0Q3FvZqqNURjSZhplnFbeC5aQGgDZXK/P84u7IeOXGu/YuQWMx2y1JLL+l09syNlW0M
GAPGNgZ+/feQV5+UoktdymikmYuZicsLx8fnPAsLkyd3DOxhpcOQe8Gqb2QgV+cHmJELtvYmKLaD
hrg9/FCrAbvp9aT5AuS1+BmHuE9sJdIbX8bLofCeRJDbdOHAZd5nz3aIWKjVMpYGeV++oFD0uPrV
OzLEzl/HVeAjcFyA7MZnCGXDy02DgEYdqXEF9I+ObS6gzHnoVUKyuHacd6+fy5eZxgbFQKzBN7/J
Wuxui6GGJCJ4axgq9s15sJPOnHgUB29uUAzBecyWDuZ40MwB+X35e6NVaA25BJq1qPwABgM23uVU
rRFrD0trVbprLc+6m6NP1RQHGYpF3pve112OJEmdunYwz7hE14MGkbKYADdoczaj43EjOlzbZGDb
vS2v3WDdu2iUQNh5pFBIL8WwWgi2CPcjmiPoennJLVO2l99L4uHexJMWQQEl093RjeAALYKVdiUL
gy6HkOVPGw3pXTNpVfZTsL6rFn0Lrf4yDG1jIrPc8tctv7xcbreNqWyR3JXcoWyzgfazyJmWx4W3
pqg3J0C5LP4hVdUtR9mXYR46GJDZx26D2oYG7uXIKzCOTHR+X/ZtFSJz9bzz0CTz0THwQlyRKD2/
frCvrS6el4j1SBk2nOvleG3T0V57pC9DYZOydmOeQwqsLpNVkVMz8s+oZt5quV+bI4qKIJdvkpgI
vJdjciTtSPncvqT97OdNLCvgjCp8TO7c5KxPor8Ofvhy/hhvFydsGKu0r72+nMlQZ74c4sd+0d3R
TYboRm5ydWoocsGjARcn3gaXU+sdrgaqbF8SSaYMop8oInSD88QhlgF14vTvK3iYGp4/EOVFIgK6
0OV4S6/aCm8ULOXM2Snh/a+J93AhHiFNOZowvbGS176L36gCWEEgb95HXOVHY8AT05UQOgs/MXT8
8zSu66KH91ehpBc/hmrkOW8CceNW2SZymdiiSQeNfkwGAm9oLVxOlIDn3Lag7JQVrdQTuOnLQyQm
fqPK9AJggDj7xzBAhFwOw4YhWLwl7Eq09WuoOWtWBGRUDwllzxTWxHdVLKqyAkg6Hxl4WVWD1SbW
2Af4yGmk9TO5QVO8dqLQH0Lqh94bpPV3OzwmA97aOobC/LrYUjZalquCmbkrV3tIKn2rZnl1vBQp
AojRW6l0d4KViWBlClJOOfoJ/yncKf4y+L5182lRgmdV3U8/Xg9B10fEowU3+FZY3IWgqFEaz3Rs
7SwVyUbU9kpTU3nwyMIARU9u0dmv3F0QGQq3shpkQ/DMvdxjvRDgfyPSlZ5I/AImyEmerGl3Hgap
b5yna9F1K5PiMkGzCHyry6ES088QIkmweUmVPhK72EJ2ffyeKmEfIP+FmLcYgN9eX9Aro0J3C20p
KKtuYk67BZ1QjIznKehLqOSqcz9PzklMgMv2SPhz00de3qBbdWPQ7QPcfaCbjgV0Cn93qPZKjw3Q
uc2atrLUXjyhokHoI+/Iz3AKTAEbFXtXhT77bVRzr6zX3vhKrkwZQk4oOOE2wYt+r2apoEa02gBS
Zp6lJu8keAM2ZRBE9yf+IY5GL6+Jf8vo8QXRC7c0VIhQBAo2DdsXC911qKxFwZAUAAoPUYlOygpZ
YDmF35EbkzPTAV1KAeu4JzEDN3y/NJp+SXtWD8UcOc6Nu2e/Btuv2aIj5KUAAYSR2+VhWwjanYL7
yeYxuZwbZUy5jrIpQz0q9NOgYkp7cYuWtY/LGBS5NxxRUbkBJGAvHwI1WCeseEuLuKq6T1jt7vMy
3mSG7w/X71EAQAJiFyXUFyA9j6aogU2CQgBHBA++45CvIk1VQQNmzvM4tQcVDGGm67q/76bkRoDa
B4xtdFQ0txox2XQHtoX/41EaGBPCGp6kBTPD+lB1wV3A3OlusChWv/7lXhsJGRHqNgAibISYy5Hm
sQ8sRCmA/carx2Zhh5JUBjqm/Op2a3cDznF1MGBxNvL0b5LTbjCZhnZdfcDbw5WrnNBozC06o00e
+Ovy4fWZXTsnG/32/wfb3d8qXc3iGCDKRz0MgDwn4zEGTOb4H0bZXoNojiAt2rcUumgJPDptiFsw
aw5+rcJTlej43eujXF04AELQocY9gfN/uXCxHeCvCtx8AZlD8Uwt+wg8nDkscOS9MZ8Xpa7t6G3i
mMD24AH6ohUFpYvYb4YABFagVFEQDdp/JOnSHJeIuR/GysslhWo2ZGjVMRin5C0Spb9Fr//+Db/x
HMA2oWa6ywjsIEWdKODzoRdZ380+9zLXk9EZwtZL4TFnvXM0sTduzn1SgEGRfYHwAQA7QvqeQK2j
hlRu3SCYRYMphDsqmzcdIiml/nh08KS9sanXBkQKvTUXUTiFSsPlpoLWQmsO1Sd0oCn4ThLUUiy3
XyRr5Nx5zU3P0SuHCKMBRgUhUKRae3mGibVDY0gK0WDt9ad4ENNdRZboECNrv7GWV4fCDYXqD0IL
nDcvp9bRqU07myQF9W1XeMHgZhLl6IMkYPn99aeBeugm2L3xzADVvBxKzRFeAe2EWTXSnquBfR9A
Bnj2FB5Cr4905UoAsRlKN1CTglrQPsnRjTN58H6BgsDYRs/L5I+f0Q+uQWYLuw94xkb3HV1Z7jJL
UfO27Mbw19YUFs+4jwBpBJp7FwPouEjAtoFUFaisHTw1yqNNuCrGZf7++kSvRE4U01CCRd0JGvZ7
kEgFb6J4nhHTUgF+syRO+tXn6XDjMrh2/AFFwzcHSu+GLrrcuCHqonCEJEuhRyve61FU55o1U06U
SU4eWnf567O6tn1AgW5dCvCqod5xOZ6BwWi8hmi8tmoyx2Vgzk+xRO2z63WkgYNPpY7RlHSPNDLy
cxcrdst25cVTb4swmz7mxnfFB/ii1FzbNEKhNy1AwXfZwYYjzak07XdAy92PYzV0h8ZjVhV6iMgM
QxulS5gdpu/RzhVw/0nr+FOdsuk/HKwYT2sYB2zvoRdCCRQNPt2tKTRf1+AA/sySJQGUhyQ6gjc+
1isJ4ybqBWbdpvv9AuxEmJs0UKVIi1VCewCRbkifl8okXhay0LwZGhWURoa3DvTVlQfcCTjnrfUP
RMfl3iPOBokC6bpo+6r+2Ei/OkG0aniSFYuOeBn1Ngtmf/NKH1yWMTfsPtYabu1A/U8ryruu6b+7
oaC3MDRX1gMfGoqawAfh9tlXN1pGWmOoTItk9PpMY91Oq8KA1YJC5+Dpvs5GuLoeXv8SrkQSxGY4
jGwFzq2Kc7ka4SA54+jmF2BVrngtBLq0YTjBSHhei9eHuvLRoXgCdEcEnxic/+2n/JHI2hBodU/g
jrO1M5aw2QbuIVIDyNVc5xrPhHPUdh+JFG0pVmhZvj76lUCGYwYaJeIYHqb7DlbPlG6itEoLABaD
0wgPd7wVbXUjsFxbTph4QuxjU5fBu+ByjmSK1oBy3Kugzn/rwo59ZDiD97BJvUWEuhIyAbjaYIKb
Bi4StcuRZC3Z3Ams4QTkWt5LKNj0UFfN41VtXt6yOb2+ftfGA1EeFziemqCj7u5Wt5ZidAOVAqui
Bbjq/IOC2/3RkX2XD217q5X8u8P354seBwR2r1sHEDL9KDzt5qcmxrFJY1qYruoOdVVPkGSOVS59
f7hblLOeKplM2Qg7yWyz+c1qiOY+tgGObWpVdDJh9BMCe34+Ryiiw3vP3liQa1uN8BHj28EOoC9z
uQG+ATY1TdsUtMo6wHFm0fMoSJsBuEjL19f+1lC7tWhxayrRYSjbuuLceLFA0y6o34aQorjxkV75
TJDrI+UFbRD93n0UqlhlGgvlj0ISzo5k7dDyXZ3+xmdy5TDhjQTlSMgPQK1rr6jBAPnVAwxCofLq
YF+7NWFZzJRXDsSCt6ST6N/XV3BfOt7CDfAPvwtuLqAQuwcgOq8rjSJoVlE47X70EtSjYto+OkO9
fFlQ/nsDsQWddWvd3pjpla1DloYy32+EDmhFu1PSR8JPbYiZbg4GCbQOshTN9DeESXGjCnV1jpve
EgbcDAK3Rf8jvlbLgtKpz2gxQXTnFwgYUFurHLeTUJGWzZclZP6beHToeZR6PLy+vlenCUPhjRoH
lMme7LKZ2wQxNEKQ5Df+J7kAZ7QkIW2ztJ9uEYmujYW4t4EvoH0MLO/lPPsmDpZojhAZEuFncEJN
7hrO75IV9Ka/nxUKL9tLED1lpGqXI8GYYcZbc6CQQaulU6LcA2iimURv8opP9XLjirr23gboYfMJ
geLPpuB0OZ4b1jAiTipa2KlHuTIVof4a+Y2B41fiZs7KQemh0adVyxZmLILkXaeGGwf2SgDAb9gg
F6Cob4X4y99QUUZABOswZ3jmfIbys/wo8b64MdUryQ6q+2gPo3j3m9t3OQouTqeP+hiFu0m4TZmI
qgezDgwbabyCQFwoPDie8v7WFxVhAEUTnFGUNJBx7lUXXb/nvCYuLVZvDL+Gro0+NJZ9+OtTczHI
bhfTpurWwcMgc6AoKCf42Py+Ygchrf339aGuJbMYa+PYQrkdwoe78MKVoDwODIUI+SLuOJvTMTOx
bj/6Pl+/eU5U3y3OzI/SBs0n5jdzDojdUN2pZOxFpl2A4adp6W8dom2Ku8sbiQKqJygEAxO+b3I4
tgoMWT1amMprjijhzgeY5G3GS1RmrbwlqXLtNG0KY3ijbp36/aslWbwphMUAhvNZRXk2gnJkMpTJ
1umMjlnydp5QrXoDCIW6ladcCUYA8CFxx/eCys2LbnJH5hRMDadIKAEwCdL372vZSphm8YX8fcbx
u08OCfENd7Kv/DlO3FobaLi1t16fKy5dlINrWVpP1OfXD9a1Ddxa8v8/1C4KeCDXJ72yDqS1RFC0
c2oOkCedDqljdN7hkXZjvGvLGELhDDgTiGMAf3gZD7xUUivDxYEcjkSnnHrkp1/Pn4Vnok+vz+zq
J7OV0iGqi2v/BcZ8iiumPR87tqT98m0NoA+aBe74zUhIE89+5L/fnu3Q9G2rDMIZ8RmaJySTLtCx
CpUk1CGJLF7/TddWewO8ohYXgKa6Nw8PqHba2HGdQsUpKFxgHk5PEu5sWQd9hzNou+Zvvdm3QBhv
mB68NvHe3wM9lnaQjrv0DgriXCOTjtV3YqahhBvWmzUNxX8Iiah2QIUIRVxUk3bbWxuKhoLXYM2T
TpwaYeAnk4D/Um/+16+v5bWTFIPlg28SKOIXTU+k5JzbBhERpHH6sW36LwCwpAcvZv/lzAKDCXIE
unDIt3ax10ubVdTR7BTr7Mdflql6Hsloi7r2b5GXtz9pH06BrgCYHqggYE+3Of+R2S1xxYclxfng
s6+KgROVUWe+tXLXTiFKwaAmYeGSF/rxeGKuqPLgGyTRMh4TZe1nwANp5rSaHxgHYfr1nbo6K9SE
QcEAaDjev8gdNzaL3aQaDe/dYo4b+WyWBoD014d5eSDwkAGaAJAmkLle1FXcFWqFHSSNyrCK+s/t
CABxPnRL/8yrdVA3sqcrgyFrAhEKlxH+sT8Ts/Zn2G72rFw9seaBTtOjG9I4n2Lf3kj3t+Tz8lBA
ogzuCwBnbHrre7DIALkBMDAIvikbxN/BXmPHbrCuyuAbac4VcLwnT4YmzNaQpHNGg8Xe+KpfbiB+
wUaeAYflN6vt8ljC8sSvrEydwpttez9r4d01HUTzX9+/l8dyG2Wj2G7c9he89mDSi2rGlgF7wyBA
5dTiK2RF26as5OB8cLyu9ovXR7y6ichLIX+8YUL2hSq6DLBl4pqhDDWm52atKbQgJCkr9Dj++krH
5P4Yapv8H1+2WZjtUzKycux5W+iw0w8DxbPJZxF99/qsru5WBMl6HBofecSuiACLAT9pKsNKNScw
nvaUeu+yVPyHCaGztMX6rSiy5zUZSdIuqiD12tdjeqzC4QcTbDrUMQyhX5/PtV1CARlt1i33fQG6
GGmwBsFMGfiaNTtHHnXfdUMt+sytUcL9+7GA9N8oubg1cYddbpOX1I07a8cpZOSaogKo7qQWNZcR
kH1/3S6Dssr26MQeQQ5gLwdJRDBUi6OrrRQiTisL2Gn0JOymwvkWaObaicCFDFDv7wLF3gDGjSzz
euNXJSiputRq9jY1O3n4+7Xb5A22Oj8A03saKmFdTGgtq9KOPAbtP9JZBE+DcyDZreh7JVRsMFKU
mFFj3piil9s0zWll0eGvS7T72YOGq84hcGxcSiHaI1BJ0dvXp3ZlAUEEQSULTUBwMfZAXQDQuRfJ
sALIhdgn2OiwN/ByDm4EwJevm42bBEsLUOk2INeu0Egch8lgTOuy92iQmzGY8gigYRDuG+et37C6
rJE+37hdrizlxaC7aMG4kGyq4rqMxr4HuKCb3vKZj/exWO33ZJj1DT7klaWEvjJ4F7jO0I7ee3cY
6yvfZ4jqQqkgx06mZ4g73rI8ulJh2VT3NusOqNLh2O9OSNNvshPQ4C5Xd3VKmiYqn+ORlj2iSR41
jn+euo4dNdihd9hwuGb73Javn5orgQvkb7w9Yuiubv6ml6c0/Z89HuPlEg5V0a79dEy0Q9Fx7NIv
fz8UXteIxbifAWfY7WKr0H4DP6ApqSvG8zA7dbZ6w5qrMUlunNIEv3qXjmyWXah1gmWKzuH27/+4
yUDq80VftTDOmJLlDsdkfIYRCT9q3KZP0t1KD1Pf1sjzBNQTXp/mlcOKsQEOwl8wPtrvKsRzY4+F
gpcOc6IyWOc+g6y8lwcSl7g/2FuioNd28M/xti/2j7lKRsUSEowHwrDKk8b2ecLIeO+boL3xML7y
8aO6s8FQAG1EOudfDpVYod02SJvSXyv32yzQ5J9J2zzLmsRd1qIS+A9ed+L4+oJenSAeiGgLIui8
INEafPNhA+mNUobATuK/a08AjHh3qTTVjQleGwrhc9MsQscZz6jLCbpqe4zIFHtna1tQ1tSffAd4
hhHyyzeGuraWyH3AukZxHDitLQb9sW39KNpRodtYwuihA1NW9gfmwhKlWibytFreHyOQFW6kXdfO
5p+DbvP/Y9BYh4EDRxB8F7E73EWaeflQt/1db0x9l0z6b0Vw8KVveJ7tPQUCPaj7l+ORCpI+nFZt
CaLeoxAWd7qpjki/oiMFRznv0+RWHnFtXXE9oZ2+XRl4zV0OOfmLG8nU1uUCtDHsNPAag5FrSAvw
sMMq6xGCjvWY/H2vFULN4AABSLF59uy/+oi7zEn9pS51p0w5jTB1cNJYP2gT/vz7zwEgzI0buGk2
712inaYHLpG6dQnafHhqIGSd13Ng8qF31H/48qBuDyAYoCEvMZi+oeMUS1WX7Vizp5B17RlY8uW0
TMGt1v/LKxfvR8BKkZNtGKZot22mSdATX+OmBCCtewvoa/9AtLxl7fvy/GPVAlT1AKYjG97i8nBA
X2KiZiNQBfC8hRiAOUSJAS29d7/LpQ6K13dqS8QvbyE0jKGkjicISs/Q8b4cTXlrl9YDkNhxV4mj
XNvkAHDPU2i4zOJqsieV6hYaepoeAzLfauC8/BCACEMRHiqBG8lyX42vjBXGm8EM45SGEPObljt4
UfTvSWo0VIWlAnIyHZ9fn/LLAApNSh8lL+CToXy1b5QnvIlJl6SqxBNoyjlX6gibZCeHm9zfWsCj
3wYyCB5BGA/4/r3A1kzTanLSSZQgRcImtjEMcuJMdWmf+VHc3ECUv8woMNpvLsimCIB4vdvLFIEs
Gjn0NWkg7yxgZ8UKbYfcjwEaEkn3TtAgOAOocnp9Qa+NC/Dz5goAEhz8uS7H7UZwObUPFErQiPhx
ctvmyUbwQmLWeV8JXx+7BlL1/oKj/PrAV3YSyKuN+wKRLTRzdgPXLnxxsLBtycbRnr2Jr2c/NgaA
tKR1b7mzXJ1lgsIKiJTQa99LwOlglpFRc1sq8CbQrTCeymIl3AM3yxOXVn7oUrHkfIpuYd+uTROd
kv85qeCi2u0rmScf5XeHl0PoIh8UU3CUdJ3P3eiKG0fo6lAgZoAYgviFT+RyK2EIiChaq21FkwCd
MHDHQmdkT0QO3Y3P8Np6AlwEIjBgksAZ7COPbNK2cfq25Am4kqARquPgTD3Ywb73aQoG/7j4oSlA
Cbnl0769NjGPy7CHS38jxKJShlxqr1esJqsYpzOsC+AtNAUZ3h4evN0GuMllqvIExNqoS6ucBvOC
IITTIAvDZE8KZ278gsELa84Cvc5RJhtHvvfQj6DQcA5kn1lryVkAPS/zDrzUIYvB5Pl3dHD/lt1C
2PclBscoj9M5FZnqUylBWYVHSTaQWMOGFI6WNl/qBTeLL6oa49TVbE8gM3QD8ksd/DO1XIrzPNHE
Fr42gc7NgP8SA3FozFYCSOXMjgM/uSEXKhcD87/UkO0eC62r5Q00JVhzNMw4/4RLmJ66iHGVeXNd
J0eGWZe+qcGY0/1s/BzVqEqVZIstRQrHzWJwGgVypBo9QIawhGdX9UxkUDqBKKJNoZmSKaiGPaq6
Iv82UF0dc93AugHku2mQOLS+V2WJdJwma2t3vZ/qygmgstM07tkBlgZ4jwkvvmzpUbo80iVp30/M
gwpizVh85ETD71MlQ/qT+I76AZAV34qBur0zjY7J/SCTusqsH002p8SZznwIpPcmWSL3gUeuDe6r
eWWf8Brwn6e1tt86UbdfIVk9fgOUZpgyRyVuim5LwB/SHj2tkqoQkC0aOtE3L8ajIh/jxLKDO+J9
oTx3ecI1Mw5HXM71s6vAQM45neSJQIcK4tS6jtp88ichi0lCqTpzIYlQZasYnR/S6RqTVXqgPjB+
dj3LIWjHLIW0wZA7xvXf6gDYotO60tbmujVBXM5B3KEDAENN2BmQGbA/Be2gJIOSjv7kVYq+8Rau
62IciP7SVM68YV95zPJkntpHiXfKL79BFpjVA1gCpwnwzu+usRXPZT8HwaNvWAPrLdZCuDNMeGcK
r+7FZzho0j5f0nW6GxXTQwFNgv48BV1EMselIOoOq+k+thODsJaSdNY51RI7wVoJpzIAJ8gvVLZa
YIbAJR6zyLD5c0Qlp3cCg/0AjyYQOfwhADTCWxnZAJA3y3cLead73snoJ+S1cIvxlK5DKQRUBksO
1SReBrHp36o0cOJMuenoZizS1UGhzB1nDQ3Nvz6qnj8rN7V3NqS8PbrO6n/QsYDlktN3kcKaUBeZ
KazUDjjEUJdpCKuXPB7alEH73qnVgVXTPBZWCK8+LO7U9ZAc9rnIIXHWL89r3axR2VoWCch99dHD
2FqTZKhDud+YdTv01wGvPdvA57gGB85/TBIendkihHNfBRP7DqWX5X2ofdRUSDMvXt6itP+gFCAA
ORi8NfnhxnUav1041P8G1OCngsRSg8pPhlnmK12Dpitm3g/VYWmgjIzdwJM779gECIwxEbyiAZRJ
v5LB8cgz9ecANiBKAyWY6dja9jz53gD9PkfJSmdgq4TfhIFt02GIo7b/F5AhQHtHCF245YDc/sl4
jXG7nLQVJTl+BO3vGISfeVbHurJvGPfWKQMqxj7EI3cIJJZ7QAytM47Nl9AhAFjMXtdZfEpOfIau
zjhlxnOVyuOWUvVhmkmwHPuRGZ5ZZw1/we+TPUKRL6oCiDt7y1vGkQLl0iqHZclgZ4Z0tRX8WwpS
2ZhBT9o0TxpGGMmY9TKuvHc8QSkgX6Om/jgYz0mzmNQTh8OfNwH5AGUh6BkNjgVAUs26LyrWBkGW
LNVSH9NgMp/DkNEoizlL/NO8OsjgcOfH1UEs9ewd1hXqGocFevf+wwIdH/FrWj1G3wdj1al3Pe3J
+xXwdBg7pET3b8LG9+tHnUAr82frUK+7h8BBWr2J3bn1v0DQzk8ek2ngXoEKm/NuGKqhRUBgJAKw
U0FdN4hmP8jJwpv6qNyI/0rb2DyEllt9kh7CzSEeoCF7SuNeIq2vTSUhVSX7Ne+iJsIm1o6Cs0Vk
9TGoqG0OIR+gQCFobH5VXu0GjzYS4t+57sMVFJtISwS1zviPjVjbj4Mza3oXMXCdiyGqk3excT1R
opcmxsNCTP9vZOIuAgCrWj462kxtbpAM1g+VrufokOL3BMVqUvjPkcUb2J0b0SnJ5lY69al1COT2
TQLFHkguKXUfkDpk3xY99U0xduG6FqRthyFzteL+OyXrrnqLAyh5HumgdWQuXBy3NzEyMYjO1zGo
Ju3S+ukxGngks2YkgQZvmcXxO+AaHFfmkTKCHnpdO3MxQQkWImSKj4s6tJiMfBwUAyLWrQ3XIoeO
hQ2yejTRPcqlkzil0xqnh9oVC8KmMxtU0Sgc9kiZMFnrn3Wwsq86CBuVs04mcdmbMPjYxq4dHxrm
JzUgfzBweg+Id9QUHYlgFQMZYxOAv5D4lVlnyBWlakV2klS4TR+neBAOqAbw3E4ZxPiqOf3XC9rK
fWpbz50+e9RhVdm0KzjZM9qNYXCIOrEmh1FFtt3AqdFYQpoVIhlKM4ArDlZ4i/ziMgh8OlkFKBI/
OMqZIOnVEdjNH3XT8CEjwNs3v5A0QvsU9zOq2hKGevKIZrTVHyLHHZdcDbJCVIRkqFfYuOuBkq9W
jjsvWEyKT97rg0OTmFgCqjeOQ9YDj2WzeI0H95+0Tpo+2/SqAqiLz0OKOiFo5jmiV2czlgTzkM/w
Q0ABGn5Tce76HBFAu/Dk2kooenkADQYSPctEqyczRWIpK0OX6tGfh/5+dNq2KepRtg9eyh1xEtD2
dnPPtuz71GAPIfOW8BbYegCi8qaWPsokrTZpBgBouBSVEel8pwmCXLb6zK753M7qywJJk6epW1Ig
psd4prnpauNmFDym88yYJRDhrTWC2+Trz2aqUgM7kYgFWTPr5ambdOjg8en6LF8QUj+ldoQ/E3x1
2ieoniPkCuCjqsJDKOBZaIhfv61djaeNR7gQGWe6TgtQJEwoEcO0T/KR+Ks4aOX2vNCO7fzDQls8
pjk0xNoiCJblSc3dGOQeyml11lfRTCB2rtspR8058nEY14m9YaDKVD+VaPTc5v1EOTDrqMp1edgm
SIi9BtqaGT6IpDm0/RwuD0MSKnJWpAr8U9vN9XwKlaeHI3Ooxm8HtEQssM4YRRp9kMMSSY4UyCia
AqQuY5aRJuzSR0n6Vj8OTUUMftsAemvmx+tCkmwhsSO/IF2Vw+dYDj19oiJliIEu8njLMifkZrif
rL+ilO3PWp88Gok3DNANVsSSV/pMaKLYWOBvTv1rrJgIUfnu1FRMkJTsysiBA2PWNAmyMwQHQTI2
emigQxRE1dmSCij5zZNJ+hMKM4NTQHs/sO9goUw+evjT1uMKbAbLZscfx1LgOxgOvrsk3/poHWgG
R+4+PknF4FGAp2StyiCldLq3JFUf4hVlzpLENgaLpmNwPmhCpcenQbeOm81R/Butr+FFEyNAVFnT
hgqRyIFq9+OM9BmShLhapsIbaf0jnONkwffShP/4loYyt3HKnhVyEr8ACoOcnMiFGtnSpmi84XlT
abiOeNSHzRlRDzh/1DkGDVisWYoGxZMK0n4+dgr/rksqwgsOzPS/8EaBh+WAXum7mtj5q7aieSPb
AGXimoM7/8CHliD/kJSFqGdaI0+VqxjIJD2YqT6t6FREHg+qEqpkpC3TYfI+hryKx0yTBYg2kMS7
J1h1gEfqtGRMcxAY/LdyBsMhA9Mq1Uc8weTPddXiPjVJMpxm0dovUAlMH5slhaGOmYBhR/bg4f+I
pnRRp5rHB8UD56kjnUEIroLkbOBH+pPD0bV7Tqzxn3AwgxEPB+a8B94hrpDitfwOkAf6kQhHqIzj
NfGOcsrcgtRj/wHTItV9XHUMw9SJ+zQ7S+rlnePpxzSaXR8Jr1rpfdTP5LNykcViKnTRp2aJ+qBQ
QQixDrze1s9wzMAXH6RmIUc1wk7yLBPZxtkssD9F0tPxqVnkGGfcNAyqCf2E1XZx19271nd/dIRx
3LPQY/wOTy7/p9MziEIuOm0eZy1xsyVmcuusnRB+SnwK5EvTSt2VEuT4JBc6DNu8xosnzJa6AceP
JHrNPFZ752T0tyqSTRgEz4JW5ensTn4eEG3ikgeT99DXOKOQ3Q6pyBrVriJHUZZ2p9QS0kFrAMrZ
Zeg3zh3eEw47RP0Y/aiMA5zPOo2ixnt6bTlumAF3yBp0qXqDTMx0GetU6B0UbgBw7NGE+KWXfobT
4AQhpCMPOf2uV9PgrWCaICyB14+irPcBVQrwzmVg+lT+9pxyouV9oBIP+SbENu4HX+HPBurNbaF9
3HVRztelPa6G2jnrahE078zkuT9gyhiZnMmYdwcRzvj+RzylG3y/EDLDvRB5P3ictqzoQw9JPqdR
5+FBHwJN0aNuOec6av22aOCozTMP5DmbVXM3kbztgTNG8WhCkTWyFgB1pyOg4UgVfZsqM84lrm2m
cDG30su81JXk+H+cnddy3Eiatm9los8xC2/+2JkDoIpWJEUje4KQWiQSNhNAwl79/4Ds3RWLDHJ7
Yw6mqSILQCLNZ14jC88u983cFuN+8AL0T3Kpo8RoxnThBVNmORGFL4vY6rohTHw3E93lnFbqskYf
S8do5UThRUqyezJWtfMFUFY6xHLqZY+jSuTcFgJ0M9WefN2JajsbnMHGx9Q0O8J6u6AulsxDMNz4
bm+LePCFW5w1LQ3GGPK3e4crY7+c9KqIvkC0dT4UXWZ9N/uqqT6sOepjnKlrq5KpqZxru8Ev/WPR
+OpH4RpVc7QS1d7PK4dxUnGLDxJCDTvJsgYXU03HKSZK1PnJYsuB8XSMXMaAmm2NeofMo7gPN6kC
O3eJWJrV/66aeczOqr7BxtGfQndM4Nl5NMtcrw7QdZp7pimm3xxhfl9Fl0MzLQHlHMotV8i3lkMM
1aC/trM6XY8mc5b3dTkvYxJ6c0Q0NaceNSHLFT+3jITDjR17OiLdHX9xEFg5godNjsRcNTAgfjjn
R1474yhOPWDd1Zk0onNXC/sK8LN126jIFIk5LsMpHU1B1hQExXXjessYKxsZs9hHN9qNQ6/qP1mp
m/+0nc6917OO6E2nSh7PGg2yhJSNVNwl+/VYglF7Vobr2Me6CVHUzKWqUvZza7ln7w8lZsPD9N2R
plEx9kNG01eX4VW9aUsCpRL1n9Kd9HTs1lHf7hhTHFH8zLdv0lXaVjzPq1PHhkT3/dipiAVixrj7
ocyiGeJi9Ic5BpYh74JQ6g8ehAEZN8yEq04W1ZccKbb7XHjpCZGsMaFQWxfEHr1/Wk5r+3UaIYrE
qo0oEjROW1MvxwmVzm2gjZqAsbTOdF7l+bFT2xm1tY4Sd4y544yMVpSxzRVTN+WnPu7lKqEvBI5G
apNMwKylfanrYMHwRwxjx4O71gmD0WTY9ziu2vMd4y1udrTgitppy122TJJZH4luJgzQ6icFl8Ak
Fsnmm4LgvcFWCHWiuJh885dHazuLhSqqEMZS1f+sYYT5seo6cta5m8PLruskWrJ1Yd06hml9jyox
WcmsO/tPXUXyumDCr4nX2uNZuGQqSAxNBHLqDygSU5v05BkedVGYGIV2j8RCXovpqxlMcWmFs78P
VDoZBGhTvbA5qfwrCj7Vlzayyq99YVJ66M0l8450qqaf/SjkTVRI6pd95Pf2zlOe/y0Vc8WgUWxa
aSw75s/cLZ0PEzC4KTGFgU3WGozZr3CSxIMDuRP7gO2Z33xHKEpa2ZgROk1t/8FHvs0gUS/XD7gw
ryIZoxVclh1J/87qC/fULsfya+MhyrUXveffE24trEaj9W/7AGXCnTCX8gsl3OKnVXnLABtMjj8s
WK42ZYWVGMjHj15AyBhAeeFkLn8uFgjtWOto/gyAs9YJ2iw+sxQfIXufKWkRPaU1uZvq5/G4TvHS
RbXPc0/aIM/MuCrlQk0kHAyxK9Nu27Hx0r1qK2vOqJV54Z+zaPv7EWZYHzdhiO+LoymWJwFKRTeQ
WIMqWfq2/dPs2XX3TCvvfmFb/gxMXH7Ovd6m+pB7RBCpIdlAq6pVXRLkpTHtV8fCPUoGBXdddr0Z
UoSgW4eeYDQauzny2+0oDNWpGie2gmlw8qvIyNCy9AM97coR5chkdHMOoYmE6N7SBFGwOhvvtB5q
fH9Jc9zPugC4c+mVJIYJB7YOWB66RkFdi2pGvBWFylMzz2f7Y+MGzKF1xHAyEdPkXdH2RIvKGUQe
nnRUe8nupO+KM4ciY7XXoqjOlDOP41FtGjqKrdr05mTwR2UlIb4YdC5m1x9ju/eDH4AvOl7Lkg42
JZsGGTyLEvNxVFiTk2T0NRDSKUV5XmGQZlw4BVn+bnQiQ8WhdqjbRJnngnYoHYuofAwlNfG+aG+n
0Szz3SDdWce6jgZxRe0++65t1Lph0JT6o649Cyjd2vhXdaOq7LTilL+RUoywFQTB/x5quxziHhZb
D5t9JlxtLOl2CfYB1rHuh6Lat8tY33Y6IFUd5oBgPiXq6EDq+NGFRAEbPVGtp0sIfdSJIvjGa2wP
PueaV3lBS/DsrGVc91OrYotq463dTIY4ifqi+EY8RB5opCpAUDyiKAPDs+7ZkOhJX2eNI7/loZt+
GpZ58rcqMsLwmr5EmEwFGU2y9r13FjSlGpM6a2mKRShmy3gmQKuP59oL51NJpe4bPknudWYEZZ60
nPZRnLH2q505WdaAn3Q6XGTOHKB+RfHFitEcocLWhJ7xbSa9uBKrp+/acSk/ylIRXDWhDO9YVrwk
FabluZxSsnsYUqF9Y0aGkZ/iheuAz9Wq2fIKf+R3jPG8z+i3LFaFVEOvXXJClySiGIniFo+scpeG
I4g9XIJVkdAn8o7dbLQxeWpKV3JE+vKa3aP5KJtqLjgVIFDtutSz9o7XNg51rNG6IHwbWUoQqrzw
Q6eokX7oyNnQBETS68Sb5vHam6zl+9AMOj+LdM82mA29fdLXvgiSabM+SWTqhfdG61lXGVsNS1hl
utxXwRx9QmjHog6bN8G3JW0BGU6RDplg6RDcln3XFLhQ+DD0mrpTQZxH6NXEYakCcZxP9mAdmSH1
AE63NgNw2VR1Sj3Py8rY6YKh38LY8LiSlO92c9Fad4PrVp+8bHAvsaNdcNbqTCq/MpuXY3AJLn0o
pykUaqBGhLJWJMTXTg9pfwIeNsMVJ6r+XHJIEXG7BiREcAnM+ijs0src+03kXTV6YHGIuaCJ42fu
TGGTWNPcjb5Q1wFtsQfXbscCBWICIXZ26qxxmNUAE6o1835Wri5+YmTXZlgUFMNJhodj+UE2A5mm
zRFA6uIH8xmlN5S2uyzo8+vG2QhuXtPJd0CmLwEUEVDFjRZF0Esb/AAglZpt1yLpTTt6cAm9ImEe
KbO3MJcU3l2R9fOnt7vQr2AkuaCLgUO4yWyiPfa8adpXGtEBbDgw0myWSyft56Ts2TqzHlet1Cop
p5FUnNZVP+2EMUZHQ128J678irgdNwE2cgOsb8JrB+AUJruG3y9q0N1pd74yR26HSJe/8lUFeo+u
OpGkyFDJjsdVcP7A92qznYcA3xmKKlRo3x6Ul1gZGqwAqvAxoyIIP/f5mGjbkrVo8fqEX918IIWX
d61T5++Abl+2cWkLAZsPNw4JutKHI7+4PX2Rtd6bGVJydC0nNgDfO8+aVRz/3QcC+QPL3wWcQxR8
OKsEzdG2yqJmH1VjFA9CTed0Ocx3+u+vAGI2Vir6BIBxsF7c5vZv4DdZ69UJ55oH6jv2gDqo7uXa
dnde6sNEXfG164x2vn370V4bRRocngXId/Mi2D7/7aLUoydwU2G9X0U7JTKcnRM3kulRL2TzDqLw
1bUC3G4jooPceEFCMDBEW0HQN3tXZJ/VAJTXGcc+oZPXfMCIIz2xEUw8QvSy/yydtUuqypbvKYq+
nJtMyt/u4WBuZraROZOOeN4Z8SDCqar5IIzK/vsAh82LHbVmgAaIqBzsQ2aAJfJCLWTPtShL9Gbx
kzoxprPr6P6kGUM4UJSj+Aam5j0J5de2QAZ4U/DD+Bkh2udvFFLkyn5UNPumcocPedCCoVxEB6oA
NT9t0EB+ewa9ej1keHxw08ir2BvW47cZlCu4+UbVoUJrVsueSv2UeEbpH40ezbhhk+V9+3qvcFJ5
hWjSbN6oAVvv9op/uyAMzcxcvKrZp3WlxGm5cKVE2l76YZn84rKbHX3T97TnGrxt8G2e6Bo7pbH6
se2O4T6TtXdWD6X95e37enVmoW6GrCdi5P6hDN7QeE6eojO5x2C5/G4MUMoNpJ7jt6/y6mhjsg16
G+AMOfnzhxfDrMkAbVBlKzWAPDLkVWlNdKbJ8i46oop39vJXNiWcXthoEXmiQHwIihd+23ojKcEe
U9To1B4GfURb06NqBubLTLV3vQadHP/uU26+B6j7odeDjrJ9KFW6tqXlErU2+75R6X3gFeVnSFHL
pbLm9XRxIeS+85gv96bHK8Kpxg0JYOAha1TUiAHki5D7wNMFQryee+dWEaWzcA2SHIx30lRM72XR
lO2sAAhFDR7m7Xf7AhW13QOKqT7oWXCRh5Br3Y1uUSwGE9sMfKSs1vCsdDem20i9vaky+yg0VZgU
bTX8XUk5rgxDgyFH54EbOJhVtNEcnRY92uS4bp8Mus32AFH6WC0T3lCj+55E+ItZvF0Pwha29OxT
L6ImTtAlW9Za4n1jFz9C4atqF5BG/VzRW20Te+3ec9V4MY+54kY93ixSwHMdiizMdUQTEJQ3NJYR
P7rA769GATglx4bnHGhDcAl+InhnS3hxuG4XBQYfoMsEzvbQjzsfxiZEDE7uBxU2cRStcCPpXIIT
rN4LUV57vu345iobXuGl6Lphu3RJmn0emFUbe0bd1ifIhllh7KymPiZxKL83DO7x23P2cWE8Q9Px
jEgKA6FnoSIbdDB15AiQBDiQ2htQxm40aSw1sQhH8KqYHETS0Kv9TK2v2LcqC7+AR27oNo1p9kGA
xaIlAbBrL8Bz3AphpWFc2TQ8/w+7CVSpLUakDfGC/Evs6YzCT+U+VLI5MSim7cEdq+MwovYj1mW8
entMXpvd1FPB2hPObcfw8z06i1pdu2T5ezW1S+ItlTiaDeGeo1lXon1VvMeLfZy8h++A03AjvEFo
4P+eX1D5NZ3QWqt9OrmUnc10/Uhwkc3nKQZWV8Hir3rfLcL5pg07uCzMpv7o22OXxnW3uteqB/T+
94ccpU22b06qCOGabbr+dkaPWrVj36RqjwtuvY96qU6ou4g9wlzWUQDa4Z39+5WVZiG/gUkFhkCw
mg7iLaoVTpOZE0NeOPnJ0Omf3uJn+xDFnKO3X+6LY55wDl48aRbCblABDq60uqlwM5tuSUGw3Me+
mTv3KOW9J3D48izY5g8qXLzSDd58kN1kE74teH+1+7JR5hEIH8SlHcc4C9cKyUUPfEabBs4pGcN7
6lQvs8mNJgI4l50Eehiyn8/fHQ7okQwmp907dCJJn0swGUEgdho9q3GvBtc/1XIa9rYgznF1pK5E
O/RfyZDeM919+VYxR3QAtFuexUo61NguJ9JIEzwGAgFhemLM0/wQwdj5OGmvHd6Zsa9ei7iSJJ6C
PwqPz5+anmMI/plrha2p42p2EN21ijWel6Xcvz2FXrsUpMoIM3ELCPKhvlozeEquodfuzaV3d0yx
6tRO60+l1Rbv7M4vJ+u2CqFeoiWMYOXhTkSrxAHnGvEq53LtY6rCQEJFn6nsndF7QSVhzqApbzF8
uIFxHjwfPdhi7eQOBU5S3fK51/6dAftht45Fv/d8/KdXh/JTsGEPWqMt31mSr40nj0jpY9Pg4cB9
fvFems4iVp5yMqroqKNDcwoYKT8pu1W9c6mXx+yjKyDO5ax/YomD54R1YCnQMd0+KDx9VCnT/7gQ
Oe3NIFXgasiRPFptUfdOrePVNRnQN/uv6x7QAGy/FWaJxSoIMvaEqR2z07oOrSO7Uf1RgxvlDqHD
7rQuoogTRne3q9uFPxo8q9/b2V8ZbBI9KkTEhBRDDhk0q5shOFw2HRYgg5+ASDfPghpqbttF71Hl
Xpm9TFmmL7rNPq/2YLBrzBEE+Xm3X2iq7qg26XNJefv7316Nm/rCRhzlQtRdns8eNEgtzse22+PZ
1RyrcRF7nOvseG6s+Z1T6mVgALmYjIbsDQYZW+zzS0mU87KwtVklbdXtwwqPzqx3mvuZRRWHMwo5
7yzLVy+IBbTJM9gQjg+OYRHOFniQoKPLhJzjBJt6V5XeL9AEsA+8snpndbw2N9g8URVDPgZY88HZ
iBuzwANG9mgkZE6SN54ZI2toJguD+s6KeG1ueNi4wjTkdEAD+PlQApcO5irCLaNjtK+tCQewXeQX
kLrenh2vXYeomrwB1RYfLbHn18EfTomyzJDg1WG4j1J9CRHkPd+018bt0SWTZRVAMDy4yEBCa2Tp
1O0nESEXS7PgKAuGdec1rPO3n+eVDQwrr82zgtCCBzvYSHrL02M3K9zgXGez/UVqL817MC5jPl+g
Pe8nQz7+bWlIpj28IuqLWwU2OHQuw2pLqLGY+r1Vk7lH3dSdQFP5qJbeeufAe2Uk2QfMcLNSJn46
lAuwYBU2U9T0+7DA9mMqsbgroA0nU0jT7e2RfGVmMIwoAwWbNgGEwuczo98o38RP/b7CzOUjXagg
drU3vjPPX1nBHGsWgQlV08g79Pb0G0S/5tVlnlflsi+EFCcNvTe8Fmj7UUr+P4RBEEIpB6Mqy2Z4
yEC1096xqmXQeylgfA9YxMZtQxhY1GJ+Kjr8x5/z/8vu5cenBKX/93/y859SLfTDhT748d9X6r65
1d39vb74of5z+9P//tXnf/jvi/zPTvbyQR/+1rM/4vv/uv7uh/7x7Id9o3O9XA/33XJz31N4fLwA
d7r95v/2w3/cP37L3aLu//XHn5IfGv7lj7/++fTXv/4gYt0W1X/8/u1/fXz5o+avCIGkun/lT+5/
9Ppff/j+P7dSPLWRrYzI2UeoNd1vn5DB/xPW2tYfQA+DTX2jzTWy0+JffwTWP63N82abkMgDEOv9
8Y9eDttHjvtPujGbEDXalyFFNfuP/7q3Z+/of97ZP5qh/ijzRvc8zmNH4H+STciWNqKrLGVkR8gT
yKefz/sqS6UtKwv7AUsGnXU5d6bK1FU1tJ3EZMQb4AMclUIWhk42irO54EmdUoNIGscadQoeGHYq
Fs5ZF403ZtW0RpX0k+XzwxLW62fkYYr1s1ymqngAmJ6vnz1ZdsoBEvT497KQwXhj0WX1L5dxqibg
d3muyx95PlptG9d+x+d5ISq+pQL4ct5XtckH3WjyxV7X2cv5YlBk/BGkdjXJc82kn8/XCtA6rtLN
3PmX2H6NXPLph6D2i2zZW+W63UbhpnzngBpynx8Pyln5av52ewwcu8riIW1nazmvmknx21NJwPsD
bcZ1OXEImcaHZZ1ANgFyGRZ5aunVg2NkpzmPYRfLwpdpe6nnIQZJt/HdtE+uftM8PhQpcMVl1sFn
VLqxj0Cz8HAAe8HcVOWPBUmn4mFAsNS/XHuj5KbhlnrjTUrO4V9Wczr2dlK1ueQdtcagioeizrZB
s0PJr4HuY9DtQcP8TkxvSLdmTebP/FFReAK4zdOzRYNXFw+Gopn5QDmeJ1gHjddw0TodbxiOBl8W
YWayfobpKcsfnuib4sGFRMgcWbKa322aoOILlTGIdaJznG5jO1G34gvsHOSKGQfOGuRr3BTOdtto
g0E9iVs0SsJfq4NjV0gFumDAn2bJ4AbYHMbl00MWaQaCfw8WulD2KcUBo6KNr3kxC2TM6E7C+FY4
s+fcXYj6NoQP12/4bzAD2zyOfG7Y9mFHUE0rRwO+EJuj4gagms3Dzky9qEFBvmQt62TVPoAxFKRt
kzt9+j6rrUeg2kOU5ULuaocC5+Vfv9BMzvbs9DiqIjwqIYv1zk49zVJX+BPLajN351ee3mgxm6qc
YzU5wworYW54ceJxguu6EDw0JS5uN4ArUBsx5fG1/NxCFM0u6ipdMNtVatiW3tOLgVoFZvascNrK
gO3k++iqnSMmUvAegB5sr6N5XH2uXeUYuaIJD0Lnc+a25vCrHhAjvlRgvIsHiorbiD892tN3m2Zq
MBCkna1/+dfwGdbAmbVrwXKLX83j6g0gyPAtgdEJsGkGFpVjFnujWpiXay8EewdPDislVtZWSjvS
SqAq9vG3jfevze3ZZvb8DKf4RcKKewS9XRYRuhgHZ3gxrUBtBJBtWrqp95WRmtIjqJHavppXwPRd
bHIz8ydm8rhYcbGUoX/m2JPiEwOEH9tQF3X21dDiMmP99U9RocfiPWHG53Hb051uqlaUQ8hSXlTo
ZQM9uW4NK3m6xxZJ0g5FHQfxcABMddrtQeA77glKKduovT1Oz4MQLs4FqZmTsHAqkcMebPnNvCrs
8mqQ7ZSf/bN1mjRP248uEklWY2fzp8VL3fKdfvjzWO7xquHmd+vRK6aobR00FuEGIwwBTjVJmZld
E//1RrBYA1MSz/2y8I9vP+iBkQLXJMan6GYCSqfJyDn6/HAroRVV2Oz2iZkDXL+t/Ak20LGVWSy4
yE4DsPxRpId+P9IUa744Yx7qJZa0ZJb6Q27BQ/iYKR2yk1p55J52PaCnmyBrt1vtJoPOZWLXLrLl
7904R/9vpPbtxulckQ2Bh0ASgRrw8xsHZl0Ok7l0STRi8/e1lLWfng8i445D1fX2VQCiO+qgdBeq
PIJQEDkmOLestE9DOanmzvObVWaJWovQ+/r2qD5q4/0eMmyalCilModcB/eeQ2TDOALA9rEES+q1
rZid9UZeEiD3ZxfEdFY23J9bmAyVN8m8AuVYldq4BTGJNaNlZAA1az9gmq2cdeNNFhSceJEA2XNp
DD4PqhRU/cs2WLd5EjkICpx1DcClfdk3HjzHfBUznwRLw/p+++FebCFU1jyCZfI2rBWJ254PfD6i
3wi7vUlyyLvlF7BtRX4N1RzM9dsXOqgBbWuQ0jOqTyFoI6qHh6+4MnRdl5XNiTKGjAKMP7BhSWnn
hjEkFt497c8s1IzSDEJt+rSoyeeD0O0n0LRlKfLrdi66+Z3yyYu9ATVfasRI0wA2ABxzMPHy3h3M
wqugpWqrsT6pqDX0A06tcwpLYczURYAso/9Oh+XR8enZjNq2I/yobRSqMF46bFh6cp2yoDOKhEgn
rC5tIzLXk0kuRCIz6u3lLZW51UMxoObfHQHy62NmNhLB13TpfAcQ3xKm+wJQ5fKw5mFF/ar0e9/b
jbO9HYO5U+TGbSqgM12WXh5OXyXxpnjnMZ5XTXmj4IORTqGyTWhO0WRb1L91Scqy4vorLDuxqGq9
62Yhu41qbqgVaqk7tn4SjllvXk6FPXnfRrii6xC3moR0/zcnFy1vhnLrnADa5qYOpjGAlQXyxVol
6H7Znh/nbsccm2Z/MG59Zy1YlFGesjUUU8PJswyO8L/a0mQ+GXYduKeLckuxe/uuDufWdlPUKpjw
lK9ebmqZXLDlDdoqmcPcF7RtR3vl4EFQopiiuO0WZnZnOx17ydsXJmk72E8BAlBPpqNJdxp54sPx
GMqghWM2FZg3SxcsOMY7dFBPUPMoJXJBOAGnxGPjCL3qxJjqKYp2NrDP9Az5hqKnDZtbSE/Ho9cR
hNbQfRRc37zQ+FPUpTcYiMUY9rB+tGiTgvb3FYy1O8vFDreKyxDc4vWU04S5yw1hQ6d3rEUuxyoS
pfettNdI1buaNDE89kzsbE+mRtX2p8BLQ2Cgusai4xSZl7n+OcDE86+W1s5cK1ZAFJuU7lEZ5Hpn
AGHN0Gy01hJal2WKopCneKe6bBpZCXvtAwYEaEQlC6yIdk8pINP4EkrDEOwquRFG9ZmUq2Mgf62L
doUzODlTdxH6hUiPAnDrmAuYhZ/md92qDXFvK4nwFQaRYnCjfYFNWHDe8Qumv/Mbox3PidLK9oHD
YLC8kwziV4la+AxDwi8F2AAKfuV6QUmndfMYgq1a/+zcxcAkgeMsLE6cFKBjDHG4KXETltagvzvu
mGdfVaob58qIpjEaUBJxoF1B8hixp0zsvhzTX01ZLzqEZDto79huVkDxOyvteWnxqOrePFYgxmR+
XDi98O/CAdpaHa8zYP1fcrbh1qEtuJ21MfQrI/jSG0oYp/VSd955OlQmNO4VTkbzM4IX7X4boH4B
aibXSk0v8XCd8bq4lT1JDwj1eTXlzlhgO9y1mecxAw10NpzqmMNSLUij2JOde0eVrb20OIbKF24O
4+wI7/UBKZgdrAHCCXaorSW2ySADZnu+PTFAIlvmliw4HYgpFFCJNJ5hmpUIvNBrB3xsb8kC0tIc
qwVNNU7zCt2tVu+CAEj4uVrtufxC/bRWN0ZaqOgEnhfqKphL01a8pgfZ1QNkfqMDrmWpFGGQXdc1
znqC/WUoP5WS/PzPOo9qDT08VBntJF3MDdDmHjrzaWotnPuwAjj1SngwPQ5fivT6fCxq1zwOghWm
55EBr2N+VNONIujY8JdIXew1sNSZucyQ+nzoo818XEhg2Teercf5xll4Yd0RpKa66Y/rylfk3dKs
KCrEXlSt/uWMiTPBt70tR9BBs7asj+wKMoDang9qcVk4duOeD366DA/rKosJrR63kOMF6H/C6H7J
Zud01nm2ZMd2JYMlPWsRFzZuh6ImfxYLaLPTurGGLQ9pC0SSGg9BjTkGnp3BPmld3Ja9XWZVajzz
Zl4Xix8WBxihkSWeflZg7q1NpUjmDmx01bNPq2yY8g9jNKaRijHIsYiLai/YYogR2BEjKIfOI1JM
Z0PP3+vRYoSr1ZHzeT+Qlw0JoV7DWy/04I43OgR0dpPmYtxeXVUJ7+vgF6Trxzl+ZFxuCdv5e/SY
UhlzLRgWpYsFCzTpwdvfpAXQEapOFLVW/0wKZyYIhXNascGnVjanR/PaIycUV5ZoyqMozUZGO2j7
km/ya02lB/SC3/7sW2Q1zCMnm0vOqpy9UTvsAqtAgQSy4aSqO/bFLsCf0GXlITRkq6A4gUKwcNxV
YRZ5X6tFtMUDhMztBGRD7ufvMOZmfhh6Nc7fgxZ4eX5PEabKr23VSKT+heIWnNUn/enVsE23nPh+
7K6e4tNslRxSuih745ZtGMpvjNZSiqu4WF33ZDQgTRz5oyBorP2FgDbLRz+H91BQUEXKhaZX+aUV
fhYGCQojzNwV6qx/RvWBKWK43dpfpmNEwppueLo2VlWfqtOxQAj+coRU7Z5OQjjtT+ry3AJdUpw8
kjbwiVXLHgTDpVcxq3eNWK3251MyZwPMya+fIuu2U0Tfds4eAcu6MSrkdORs3GYmWP+HjBIOa76e
FiLu0R5M3mtqQgR9KHVv+SBspqZETmcOUtINT+UmKyaA9uh99WwTMSMo1jO5K/nYFsvqxxkK+GsQ
d76lVXi25OwNezRuysIBKFwpDL2xvUzPp8clgnzQWH4JnV6yjfhmvwUJlqPZmoD0MvsycpHxRlI7
b+4EJlD6HA5fj38aJ1u7NJTyNBkG4O8tjX5KjXSzcPvQ+XgizijyJwg7RDldI3mggZOsWADU2kzG
2puIjkrFCXZMELndQ41WAU9KhuhwK87qMqjKlkwUg9ftQjm0CNPTXlKmc8y8M24rWfT8oWFbK9tm
4zp8pbPyrw9z6/Jy4ShxXXppTDBoMDxuHpbMk0VWCG0MgIvmT2KyPaZftXC33VBYeZ0sjuyKi7Wj
jnWG595jvpSu7U+adyPbSeP2mBHugxblx191bzf1tVW46DUlo20Vy+nTJHMXx0CLbS1K2z+2J9OV
l2i5aatMqrG21WYU2DcnAYFOeSEfT4eSk2j47pgUg6/JMVkaqaPY0aZ5rcZvud065W3l0TWGGqO6
0bhplrKJzLicctvWiT14GQufjMJEjMtutqXZ+9S4PlBklNYNTJva+gwaf2lTDtu8E7t8NNrwI6ln
n5dUYxcIlq45oqWMhcOMZphyqZDFVmHV5RH87JKFC8jRPSGC3IJaO8sZ5LVzGKGhWTqx77J0mS4D
gOrtF7ctW+9ILopZkotC5xShAy2HFRzf2jOOdlcWFlOnMefua9ZVWP4kf9VF9FLn10VvMb1H9CuM
W/Bp8+zu2nqewFfWbqgctcv7xffPFLoy7U/HmI3pE0CtKKUYDef2awu7V+zsrO+GHyX9mvojgFw/
62J3kSx5m+3NJ7zJt8ye3GEovyAswAU94WxDN0yrXV44zci2ka7UCb+ovlJDeFEEBUICsQrkkB61
KKVYTWwYLWl3rAt7W5doLhEes4EOIoJvSskLAWdhlMFHr2O9Ib7Cri12Bf/NMNQGdDiX+qSrm3gC
0xO807Y8DMcJQ4B2ENHyP7SdDysIHmw4FepyAkSJisSPvyrIwqFg+1RBfzv+f5F40ENESZl+L50w
sO0HSS31aVXJzIVYZ8ysPjiBKWMiHw9n08L40EXvIWcVvn3ZwyLfo3keVCKqUJxZL1A0WVesBhEk
h9MkoIonOpy2N4uaCq9pnIG/nblZlnJG59YycFC+ffktnvs9qUaslyoB+xMyk9QLHuPB39PRYo6M
yNGw8h67MU89AypJKbXvt690OL4oLZPPEV1u/J3N1Ph5ZIlqFrs/ATk88tTiOWphbOueqsn2vG1t
j/Kb9pWy3y34mhsG4beHxE6JGhQ5ZURYC0PjsIoip9Gy8lk92E5FYJFQX1w98v22VwRuAqHixTga
uqZf19iNjNURF8aqF5iWCOL5nt5Vjlnr/qJvrFV+c9AjCL90qd97IgmacbSr896ZwkHvzKrS0XIM
a1M541kweXRsENG1xygZ28gN0GZhv52vffTC5+uSvI+YytCESz3clK5wLcyRZO+OO3B+xkW1IumV
HkVNupV3S9BjsxE7G0U1OsrywFrDRFDWXLNPeBEHdh+PZd7Ci0BQAxnvY3NwEWckbRKjpsqBJjsp
zUVjB0uH0LAL6VMhxlNQbo2NtBzI8KKUDvd0lCs2vyBB063rhx2clzJdUIcs88Hbm35FjHglYKki
S1YHol5+BOOirduQz/tp/7Q0O1osQiQGVllh8N0oqad9WYdZ5O7erEN23vNwxBkqO6PiW6RRQptH
oIVJw2sYHwoIxsKDp4rLmTxfzbmRaNSJxdPrCb3T3r/Vdj7xSJDm++pKydJW9n7NLIpDu6VHXrtO
EL9r6c6vVLJ8SLEcgau1NwBNRUaC3pinUTWw0aXDcjT6/8yd2XLcSLK0nwhj2Jfb2rhIFEXt0g2s
KamxLwkgkQk8/fmywJ4RS/ZT1nf/2JnDkcQqbInICA8P9yXnaLUSgVpOLMY0eZB2hpDannJULMGr
lRvJEp18lCaDXSicWJSoJgfYPsFpgE477N0qYI9PFntAxawtS6+1jq5GzuQDg1+4iCDzIwYkAKMO
gCxmkCCtsvKUzrnflgdduLUoD6p36x5McbRtitnMl/6CWe7isBOjY9JW01uxlnn+QbdI9KB8I/yU
a0F+VpHUzEGb28cc4Y0G7QQcDtv8xO4x52igSJQT+53V91U9nZZ+aBYYjymjSjSvpGS0+QaMfyHy
WxYzo+E+WdjAfP4S4yQaYao2l+35lmYxeVklpnfIc5aIZC1pEfImOyE+CuNtIEqIsbsm5oEO+65q
EueRkKX0F4COUtBsy+JR+kcKtHZFRMti0P8BtExP+rpbVL6mjPSOrk2u6rRBZ4fXsTtkyTfQALjz
u1g2bGTXrMyxdq40um1Vue9y/LiWqwVMwkNySDJXjctA502yOHmNzO0VzAXwoHzHBjfxuUqJCV0V
UJ4FJ7JSREu2T0npwltJjw8tjWS0mjDbM0YdtW9EviineiQ91yy37SHjpRBPNyiqeiysvKAO+cZd
zqcfik5xgWZmxjY5oyLhs272cu2kaXMNuuB2jyPxKd+NvtXygkarZaubrmRM4REVWPrUDN92/IM/
Ik3DRks7ymqYnFsUDcY5W+gG3AwUlXxTWCCW8RjI0VL9V+VDUfTeBUWOoggqYX5N+GEAvO+bYUdU
U6xXNoJOr1cY0InZfpO3GNkHOxH1aDkYJcWURDTJZvP5leSW9yLqkD3Nqa27SucHKh4WuELojIMP
8Qq9/rZg8p0TG0nAiGmVKYec2ov4Jh3mLb/gOKv5wu1cNfuf6ejKUElq56CV6sskUK5+rDGR5V6u
PCJ+O9VzzI8gqDJuxSpQ+robPSYHP9qdlSVvnYbUvrqG612tn+ZhgT2AIqB5QVe49voBBcM5vZvs
DFmJI7WuHKe3OnJmA1a56G6y6EMcY7j4KUcnZDdQFumH7f53Okdk7BrTavJB9M6SZgVuXsMVvcrt
2+04Nc999flbFJBQ9JxuiD+++cP5kZQWA6Vcxapi+7M1WNn11LYFd1BhoVLdRXTUA7Wvld1kw1VB
45cT9+jmi8cBvS1etAVR5GY9aAnNIEFyy55ZelbZuhwiWlHoe9wyxy0farawVWE1NZ6s2eYhYZ1b
DNMhGzPzhrfxZJ7I0IPOTYeS8eT1ExVFxT9t97aYPa5/rl3TbzdWqhynInb5PINzmx+IvycKyng2
/yS8yHx28YOVRfL0+5OPAhyaYyvbGmAcFACxXUyUhyxr2jlmYJ+0UXAtqOUu5qMNcJLNvld7LPJh
C65jEqfTTZIL80VbYBZlbV4GRHHMp1CvNPdju/hKIh6Y755unBMzHoywZWCWhyahrO62K1zCJeZx
Zpry6VNtFeZeb29R5IC25Ydmqs3xrMFsKmj+mZez9rrAXO75mrrG1mwOBclUdRdb1sAuz9Zndqmw
Thpu31AEZXNXY9+KeF1tu8r6mbdSq/k15ucOF2jDzeNQ2/aIfNy5g4/0MKJbWYam1Xwdeoj55Heh
32biI4p7DuqhpBJzsxxYxnn9DvxMr+j29j6tslOA+gi4EMnUiAQzzhUjcp1WK9n7cUQYp/ozSrIj
WcG2KpoZpbcT/HRT4+pQkMFD06RYQ6ovmeYTU3emFziFFpsv4jmCVEeBBquPAAFJbu0CFxbAV9fS
MWlxXy9Uq0syx8OPZnXa7Mec9ryoDCnZVXkzIlWFqPU4sYi/2UjJDJ+zJENDcrfBYCidUsoQnSm7
JyWYW/8AScTgZ/EKf0gj6jszsbLrQMg4GrEi7u13lZUhBIr3ERjZtduVknLHFagUlLvAn82bPTN6
yrOrupKCSNeradA/gZPjwrmON+XYA2vOmsIdft06F6TcrfD4u623n+iAj7oS2OrQoU+mkYkegtZC
WVQSJXf0ws2BGuGYnoDd1pxKz5SEwWXw3Pu7XwcydpwNzFmNfun1X4KlCNP3VehK/ortnz6dQo/J
rH1ycq6hZ3AHxATGSGwqLi9lYHevhZ55HpWLuN10rMm2uuMWLlUiecstH5LOFz+qBre8XdnNzKUq
J0u+4kUbeddh61XtQxqDzFRH7FxgLAgUXkD+NtiHisTQitIA6RcUytap4IfTKZuDIgdGWB4pNfl1
wA9zdiKq3eJv+sy2fc+A5NQVr2nGR0QvZG3NjtQ7lU3fA7llAy/Oop3deycv0D8+MjTF417yBiG0
vTe6YV/+xWAe4pq7OWloTzhuYbgW282XkQMvQy+Zl3+fWkZMwDQay25ehdDU+OoMpJw7yZCZwafS
HB2i/eqiXIV6h3ZU7B28DPrQuItTvaTxfg2Qgy325SiA3eTimTgYxyVRIEa8xv+BTUrbkx/LZSVx
HILS7nl0A3nVx2WhR4VqD3weDybwEpXF261Q6gp7Tk/FhBxcuNcYRIscpZp1iMl8eHFZCOcyXo+K
BbKhAx1CyNxVYMnqG9m6tNedCFGonA4kutxvNGBTK7p1G0SMx5sBhaRCvWpEV+cQL70p6Ja9G+ZT
C2Ik8HG5RYU6HfJ3KbJPJpivlkyKq6mRYXKqK+X1gOzo0RTBjRhdpH06FD2dLKuvrdyz8UqZCxoT
0REmVm30avplgUfyV2c5nvkxU+VnNTQgVDS9GgM15mRVj2FUkvQtI3zIUhZqPAn+rJLvNIsqD52k
aWbcLv5edwEaryCy4Vos6d/+jJYXLw0+s7auUtZG1NJoOcnRqcNmuJNV0tf5I3NNlvQeDauKCWQU
g4bGFIi+HlZN/FHaISYMuwpRaKcf98J2fI2ocSXhVgJOkMogNUvMCIvEzaJDr5ycYSI+j7WP0x9K
jAXW7M06SSS0fvhdgj7STdY3cTI79Nrivnf+ao02jUaqr2gz0vpdzIabM5fbFz0CmPt2HCLnp0Oa
nCY3EJkcZ753wI84S+RII37Ma1AOLJgBbbL5xmbufCHbz1unJGbmM7KfoPpTk/fXBU3/8JVTLfTY
DpRvUzodnaaRum3wKBkmx9vrufL9+aZYY6+ob2JTPPv7hjQzsu5tdBXG6ZY+UzXmdB7znB9qiOHx
nbo84OuuLIbkvXA/uZQqboAkV+DZ5X0mYKJm/U4USIaHP+3VjbruqCDOUf0WAqzTvxGa3hw1eeYn
jBai0rWE+wJ9pPRzPwdV6HzSOYranzN/QifwCuJfNnEqSMc0yx19vAiBBzvkgu6kLZf4W90hCtJ8
rcJc22qfRDUKZFdBVWIJUKJM0zYN+3o3JyAskRShX9+pZO6c8p4UtOUT+YTMEylME1eYVKxA4tzU
VrZZ5V1N0LAcdRAtaNxj5qN1kzG/XXdLewjTEBT2GI9sLABqgfZ4JCLEfyZ5J6qGhYDSMfjmcl16
dpSj5yRFksW30k5kuZ462HVr+bq0ylkXr0qE32V3SiRbC5Y5siKL3bFiZ0u+hiolgzzDCm/SeXpM
VmvlE7laVoly+jrW9rJfhnIuXCTwZnPylcvtJ12A3jZU6JDHs0EH18C8yJh8AyCDp+OHc2qsOYvE
yR8RB3av02A1eW6nwnFpDj5ALAuphPyYfPbXoEP0H7UplMn2Ig4Wepe6F5IMBJVtnFnovVQ8R90g
pIwoTKtaxLXGuUX9+74hiQHY3XXrbObA26rMCUtj79gNkpl2lMnoauH5BSgCiTmW0iMMj3ORxN8V
Xj8rHAsf0notblEU72n9UVzPqVEsjAOgGYZfipJmI7x89JSHXb24qX6nQVErd1fNITTVdGjc+Fsg
42ryXykB3NZ8GnIn0e96RqoTJALncHBGNG3aIpXqXnkwIwpvPwbDtI6fGsOf+yoIvbr8S8z05UhR
40blwYOQCEf6NFeiihcULoQJRQiYm+5Kh9YjfzkmnbAQmu8lmofve9djMuIY6qmOLUSVkd9ubhqW
SiRfAehPPbLIdkZ30L4drUFngEZ17mByMTOkgESrh1vbnFw3y+wYzQa3WC30A/zEQcM0bKqkxlAt
DpAFvEV9qxjaQyaITO0Jk5IGVXor7Gwbf4iaymsGOXbaKToFoxzHZR/Ga7wE8O96Xw6nfpZV7aDD
l/WLc6Q2a7zk4KDMihG27KN2WWAii4mPp6A9fv4uG8ZRZqfRXekvvlHEQQ//hBkTCfcGSeSGc5lS
29SccxH0/NtUhVXzGkNIOKG7KBhVjcV2v8Yy3C1IlTvtAbbc5EU7OCxkfnu0BwPkON1K8GFRKLOE
e1maLKGomQhvEKIHCbUohKmSjlBhmCXblZHS/J2j8pRs3qbQKPctGozm99D44IfrCY8fSZbOLbq8
TaeQt++w6iY85Wljv6rY2iab+fNAKirYlc28PmWpWPmUgA3L946S2P7N9LY4mzknqPLEgqrjBNza
peex83G6aBEQy3okxPaenMwtcDKSHPemifuW2+NPofm31eporAlacfwGlGi7sa5J1cPwW9og/iJO
iafMofV2G9t4rnR3bfuKi94uXQYkGM0RXsg0+kdCBJUbKtCZo5rDkFtJmx9CyLoMfDBnScqCn1pe
0HWAilhXyI4bd3gq663+RIEW56WYnac9kCM75lZJepiou+exucDkfG7/vVqR84tPt3vqUvPcCREG
mSiEXjmRbIpQdzkI7ZdEH9GrgH8rqav4U+vikfE+Aargi2FyU68NBADrPf36qH6jAbz4htph8u5n
59GhxeMiTKty2iFUBW1sb839YO5vDDFlutLjGno0fjynSnhy8Cf49NM70FY1jStU7e2q5j6HaxxJ
Kk/h2h/qBZ2z9ZpUwRRXkztINKNhIHdOs1/byTzceltWoiOLK3ZZNGoaSNFcm9N7eiIWDt38aUHc
NvxWIkLKx6D7GkC60e5qjXsQf2NX0wW6QFCraAq9ImZfKIFZED0hK/iM13GTA+IFLs9kt3hBUTV3
xQZhoqOP2chNFpGVliANAeTW144OB2/YgRsu4LlJOHXhVy0zzyZDCkUGVOCAKnNVlYqwK9jbU8p4
yUOJbV+uT7ESueqYUxbkIItXN/O9P+g8y/d16yczsngLJDS98/vWpaC3MuqAO33GHmTMKzm/7pSr
2Eye8Aw8hFSLdFnfZW9TjfIoLf3cHuc7W+F/0LIloKe87qZMDVO7n0Gx5ltU9JYVMU5ajURkpq+U
PtHJnL1vrkOkxzpyhhhKbQyLbH0/NrXfztCCIMfAf+/WYPpUuHYmb+YzGp7Ho6CebnLH1OKWRtb/
+9LndfQ6RYAb69DFZsIY9UAbgc7wYI9w2W9wxjMwhFCjwYxiIXsu1jUGwDTQhxKQA1hBUWNtr0g9
KwNXEHxq/o6bUobBDtNj7X8HP0Qz475ciRMKlDF1AmaXrXCJ7plgjqfPwkM1HwoEllhC368l+fF6
sjCOHN75pQwbcZxwWlgKQwtZJoh9Gxo15bT4nS9jFwyMgfTuTI2KXqdrr6Q0bqWzuT2spW+w1W6F
E9ftSOiT6UbMicHJ2jgyIxj5+UYNPuUiot1dCWngRPpY5/E+G4QOfs6Z71kfZW+5HdMKJLMYfq9L
C454NweJCPHl8YdZq2PKHG3FEPNoh+MXfCjtmKzEIgf/3Bd55o1AEzrwrFPlQ4l6iOaEFGnHhCmA
603ZVE7/NV3oYz5IGiAT7KbYD5b8n4ulUSByeVjcekDOa8glHbNjz4SSPR+ZKDJAid3Y5q2M5yaS
8clDepM3dp4C1ecPbdshTH9K23BZvnWjVO43Co9gSh6GCj7pAwaZBj7Nmo57+xR00Pn0eU/HqjcL
AUlTsxBMrORODvlk8CvZJQ7wYtaYdsg8O4a4pJCKqb0DeEnXT3RM4PoA8bkuyopXYkxNUEZuGijD
LtUZeWs9z6BVChUxehIbqNZYDgnOXtHZtz5GWD7JDPY4r/4d05yqKl8PXBiK1nbpeyMFD92S0D10
OVLjLKQz2jf1jOd/SpswZNFnSwt4CorcOOl+bGO7/1TTT1EU15VM3fm6X8VCLeOeyQUbwkaLl1V0
hF4mVokaaOciV8lpjeHwhBPKqicvQnk2W70HQGkJipfqbkoRUh2ruNGHupQm1jFcYm4NsqIK6Mwh
j+F9DBYJAfu4+hhd13SXe7nYR2dxfIPvEs4ti9IKTcpmnzej+Xg0CtNnIts38COkHYODtqgZ88j0
djM9f+in6H70nWm03sQSMzaXMkMgEYPzjU2kYhrVvAoQDg3aJzvP7DyDG2V8iYQcu45XJR9owqPR
rrTy44jxTFugRIMCyoNVuq5zix+Sbt4kqZFcuKrKBWlypPWIn/1hHJVaELCQzvK2Ypgtr2hgI3/8
TfXQ9eDQaASko5tw1pUO9xHEEZci+LzLZlVF4rxPR7/Kqh0mXqFAaz7UjAof6DCYi91eVpGVeM/e
yFYofp+9pdUPT9A8+nMmvgcLcM77yaMP/UFagHGP+QYEN4VjYN40z1duDPVSXJCBYHMS631uq3ix
92hG1yp83zp52levNtR9kW0MPLliopSuP5jmq80m0uilX99DJcZ97kugSDkj3mchl5+RVc0oFMUB
wyek6EiBC3EfFo2heEHbh1sHptqZZ+PNS4GF5ajxn7QYqPTQpt1pB5XU4NgHyG4y9uMnTYGAq7s4
5G2ltWQjQZJ8/8ZCeW68J4noiuzj5EE4QJQC6gveEzDRLNaRF4wRy78rh4hj2pMgqXhX66HR/Vcn
L6VZHdvarM6Q1BOq3DaRQZzaqHNNZ+OMMT+B2edw6XY+WUkvZt7+7eEV3njuv5xfunq7y50D5auj
4ZNOHAdTkcX82CJNgiYRD8+l44bBSCc9tqqdhwjxUh66DVEPR6/DNgGLsCjBHHkLD0VjWgr9tGh+
5JTEnJ8N9dMg0sgGrf6J7RidxT0zY7z+vrL7pNxPGBEUxeuprechP+WkSV57kGXaeOktUzjh3B/s
fm0qew9vuR6WnZVpOWHvAkGw+eoOC3DtKRO9Fu1d50UQkP+afNFZ2GroXDKsMvo+mdpd4xeyRUt7
bsJi+jbC7KNLqJIqmIOD7w1m+2UezZ/GvdJV1OAkNmWFK5GAnjR/ymqom8ALdRM3X2u0r8EuFS0v
7AfWzg9SZGetwAPhWLWfvFNr7nh6j4FM0nxNG0Ls41ALGcv7eApzYba2ZZ0+VZ6norcaKvIQIkUO
8anbbeg+TolmwwBXooUAAw0KKnmsiTT91nAReEyxiFI2BXmzodyWxFog2M0ZVRcBLcLVl2bN1tQA
SSf5uJ7yuJo/A/n7K+3Vxm5T/9An/jIOh3HFWI6sulSAJmDvmRf9II/NVHZYqYC86FAVTN2lN13S
eFm6WwfGQFDbRVc5rN5QVfVWfFIOUyv6ZLtjLvSRjrOrca2J8d3D0seXQdm+wrCpxmPGzXtUjmE+
FmX9FeHGmd9HTXhyl71MA3Sid92ZI2TjmbB+Siw/5//XgblDtPQrJ6C6tlwamA4usN4H7OCG4ptu
BtDhIpvFkO8YQ/UKkBANpFCe2rQ2aWWGH4LfH1Y0Q/gKOkqjqx+9IGgJwqApIJG6DUz0bYrgDKpn
rUw/6Xh0umFfapB2UtOty8WEgqntFFCMfvD9wQSvesAD6pOuU8gP2lmi/sM8hP64vM78AWGPOy0X
p3qwwmjhzDWmDR2tM8ca2wRi1pDab4Rvt6P9GiG10mH2TSRr4F5VFnG6pT1R1+BU9uS6QH1A34xb
HgW7mWxYnn3a1teMFlWDdSqXViQUldB6cr0re4iyK0NIWjmfLWss9fw+6Xxjs8UsS+N8YYOe43dg
KbRudglmHihaBMsAtoGR4tJDTUNt0Vt/FH1NjwOVeTcYq+NaRLXzxfGyiS9qO5P8m+BuvhYmmDc1
pzakeR1dYVRUNsy/FnI1TmZMMEuIRhJ26rRPhl7mX6eYjmWFvWcc5PU1k19MLO+7Zba1f0zPfb1m
JhR05BSV6bri/RcBGXLgeFJsf4PT/uwS+mfhtc9WvdpHvbZZrm5n1Z4Det2YrWeYG/NMHTNfRwR1
qXlhF/QFDwvnCvN3jRHa5lmskwYucuWs0aHGniFb3m7Nq6fXKVPSNN+sgd62fUWayC6AMjd1/XS7
TLCaWCWpZcB2rdsCAkKW1OABx65Hj2U6RpKx9/gqjlXbqFPUS97lHR2EbI1usQyY9QKCFnDupMyq
WKNruMVk/h/Gxi+L4X1t50usrtemtCd8IugTmLPV2HP1KEgCtXvjLfIWPNnUkcpOsQ+TTvoY9umS
5afALp1g2ll1v6SPGmZJ/8HJM7//EJNTd8apsTbXVuWMzFEUpy4N7h78jtu/9Qr1UMvEAp3JhgDd
Xrvz8I8icTMN3DkfTFMXXrSkJfjURt/aAeMgzMb+dOuQ+jAlx9NuH6vV5AtPCRAvoGnbPu1RLdgb
j4bpSHM+QRmbji3eQnyXC9NPPwzMS3FMyBYhXqD90IcjJgymgwzysrEXnjrAKP+6QYYHfJLJlJW1
YJNxskqMbpABgU3g35RTG7mSrYOcHr2qItUJjtmtbVl/YGadhUf+x8tCHxHVcdNxdCKmbbzgLND5
C/ksGhOIyZgkHBJSTtTO6P/jJgRXJjaNJ9X68ICndaoC/xR1NGftI6AxbjYHhTppCuiEx1hJGVcs
NK1SIiiDvP/wWmjt0h1kvMn8OM+rBjmlfM2G5JguWFygiHNnVdoEsCyYFQ3RbexwawcujUVTj1KP
MQO/aM69u05B52XUnD4SvAkpjhjfKf8njmfwOSfU7fMDpHnzTKdIkdAPGj0Dm1K8K1zaAAsU9mvE
6jysKXCvb4di16h5LApAcHda/51YCXcX3iTVDmrcIcTC6HKWNqr8aBJAkkcxKrc72bhK4QHYQtSn
8HqZ2/ecRbgdCmFa28yOQO8LDcnxlwfZwO6B5ebGR09EHXVXhSlD41b1p5cP83x27vfDXFA0/3cY
GkdZGMFQQvcLHvuAuEQMJtZjrXegSTOFze2AuoAFc89PjZ/HPE7OH/RTneesQnM23FrkiGw8wpkF
vZzkw4SvCulXKNJi3puPC3JorCEyP8oYhbUMSzONI0HfFbe16o7WCq3Aba10czfwu2sJuDj809BU
sjfEg5dv2XPWJQPNAMuuGdNEXdwQai/GDf1omHMvYkIBqy4ja5ADFaGU46FjUO97r0LVgslupCNe
Puz51f311Y4AIl0EOG0jauudZUt+XRHwxddwCSSeeDBtCWRjwqTW3301kpzgnGsaHXjj0XZfB9Dz
A9uueeWxceEPW4P75RMyS+PZ+USu4yboU/lx4DoQQp+vUL8PpGH3psce0j2jZmBaSHTMfYCHbA1a
vbxaPbs1ahRnKZAqokX67uVT+G3BxExURbwjAf9FTe3yhRQMFoTwbAyt1zcdbNlEOvjGHPzaioOY
8BP+EhOhBH6O5/AR9WvA4MBWkcC6UG9H/OjRbRgpIejWb231l0/yOemah2aGa82d4rAs6uBCHQH1
Dyh3FupJ6H6bUadlG7lvWKkds26iZP38K2Lw+ZCohTqMXjo8H/7H80fDsNmQizHG2yzGM3b9gAZD
21zXwkFB9FVmh8pEa2zQ/jTFfbFGeW9Br9CHZaIYTTvgqosDw43Ay1dP9gEZO74d+AvqRlNkhf64
aS1se0DWt9K8pdpmuYKclszj5J7Xu394VS+ECMz5kBwBi8eRUfTxL8eqwWWq3EdU4EDf0DDsN66M
wQjBU6RVmV1uI/DEYMxIf9jKsCaWTFa+fSBZZ4rtxEetpIBfN5ZKX2FdNlV3kpEEXr4Ae6tsX+Yj
ozgvrxr3+dggpx7BIEcM0kO1Exr75TNM+8GagAy4lWMgEdJAQ4033JYLfKmCXl7zWa0rHPQ9Httm
HqgPGKnxGVvVZ7JI6cIzirClYe6u1ZGh7UR+DlOJYR7Dgok634TT4kzecfCTMfu9y0j8bbaSwsDl
PW/KL1/Ub88DecvY9xGQJqOP7OBy4Hxp12jI60LumVvaCDrQbe7kIJgvqgjksGJyM0ihdpIRWSbZ
xrwZ6ExjeoDNToTFqX+taFNVd5tUhpud2ZNMuJkWVOzSMhv2vl0xUvfymXvP32JiDLMvWHQju+AT
78CMnr9SWMICp6oGlye7Mg2OsbJgNQmfUuhjrGknPTLwEiMZkeJJdhhCydXvMHqixJYRNKGfY4n0
wCN9m8CHTlyJpXtVNCqY3+DZvejXeLjqiomiRWYAjKCsLiPMghQAy2xIX4H98PTEGjdlAywd2l/U
u9j85foYJyN0bAgn7ep8rXo47n8HltME6b4SOEK3h6UtTHjMIbJWd+CZcf4drd/cK44ebb7wyxIx
E/b55Vt2obRgbhl0w5iIgFAjzTajs/XrhgWvuWEuDCMDZmttMJKnlLACeuTl2hJOOB5lF0ACqOry
kbYs2WDigXcVV9kwl/xahbhy+Ycs+WLb4MzI0cApyApd9nIESJ+fGSrHnk8QXPf2eQow7yiuqAWc
imFZjJqo3XZN6i3FgoFtxLQoA4S+U74Vik7JRxgGWo6HOquy9tZJM0fIfQ59gJj68g00Kd7/Nlhz
lpAk2Ow9RCECRj0u7h8lVgrsMQb72GcO8AtQw1TZwEP16DFl2s1Oj1e7F+XM7LXKF3+SDfj9+bGn
U9y6LiMeET5AF0ue5qPLEygwAV27ieDpRqnRDVjHtp6K98Y3D6Gc8+BhaHhYVKWplxIvS6zS+XUM
9KCoNW5jwtLLd+a3U8McIrCxF0giUAGE2i/2mQG9GA8rb/+wtiU7DFgv1DhmyVD32ycYe7n3HqwM
zmUJ7NT+sgTQmhqsBmvDzGP+eawgkKd1+eMP53UZtFEuQWOBEOeRJzqks88Xljt1HeNVUt8yX7LS
hbZDDDN8aCyGMDPsKx85gvVVgJFt/QZkBSPlOxQjTIct3trbDpgjnYKXT+t5xkrGiKJKiDYrggVM
7PC/np8Vbzse6Wjv0JWFe/G1Tny0dfCKP5M5CzSjCbQh4+B/ypTP+uS/rGDXZtyMCBBEoUcq8luK
qGJYwDVdT9AoG1L56mjTtmLQoIbeIgBMRlqGk5ocbNtRX5rgQOB83mIRzLh0eY9cFA3YHXRKB60C
j9o8QWzdG01PhNkeAOlajlr+bNUMl3FtWclXVYPUAMSogSjMRY/dF5cJxuB72xnWJgZP9fx6Wux5
8Xb+gCACfYSE7vsR5IXQ+O/u+yZLzV5H+mHzLl2sUsRKEo46/9hm5ad5YZE+ZV9P7wgMcqLvy0e9
jG4uII9L5EUZG7VC3J0uDkvLGjNH0CUElQpN1BeZJP8aWQVmj8yEiVTsTiYDG+lMQb8uHJMcWRm9
uPV+wHmL1zweWptfzC0kKz8y0J6DFbx8ohfKCJQPBGBEYRNKapMvRhdhuAon7YzJzMDY1mos+7Ib
vzK31rI8VLUYPpHrjkmy7Mq0Zox+Qbe8/dtn9H00E9IRayouYuxPwftDejj7Qoiw+N47qeG3r/bQ
80Uhe0Ds0ZOhDIlfWfjgwrIQYBUlYHUdBWI92BpWwT1YteHUo0RgMq2ucwz0RE/XbV4xx8kAIwIB
VhTtsSNd5M8eoYm4OgTsv236h/h2EfnZMbkldhi4EWXD73OaAuNAfByYmQGhnf3PuSqt4jALppea
A5Nb5qFKxsbk93EpgOD/sO9cpDrm6EnIfp3wSNgoL/cd5lkm2gQqw2yTIb2Y+a+zRpgsxskUUmf8
5uWVcBmgmB8kPPgQGEzlQHr4PEAB4qBfsFT0vuvM4GsYDpnktCuEWaRPBHJXU+i+fFzPbKG/BigX
kR5yORQ6fOOwcDmriWaLTNl+6X9kntO8aiHyQs/b2l9+RY71APGTeGKtK9FGOrZi7Vi1N/KDlIWW
w9VAy5oQBHvGkAuHLKyDQ947SMUDfuUdtJCh1XnU7nEmg7x01Iqk/LiVo+hJrOnbCJa7BjFbGlhA
8aIz+x3k7TZXBwUvB4AULu8k3neVjcLYThY8efuNq0U2+Ix8WLEzvlX2TCg5ddNSuvXtyzfJhIvn
9+islWVT6kcmolw8HBHUHqkYtozJgiPJu9oiW/mykWBePtDlqidwUTsmdE0RRUc47SLfScXsL3ZK
OrNN2q8ulKJ3UO957FuymFueiV3UMgT3l499mVG4/Af4kjKRxnjkR5c7t1TeIiKU6eijVuaF92bT
EqAJxNPfdhZqEUbwHSxB5c/0vB62ploa2PyO1w6mi/TyWf1268EbkQQLScDMwPZlJG9kO6FJAKkU
IZYshZnh5jSajiEDVvAZXz7WZe2OGm5M1mtc7ExuDIv0+Us4TX3ZB04x4TdrAitao6K778eROZ52
JgW9C89dYddD8vwui0ITpNtkZc+dwFuaP2GBlzGBaOACYMdMIJC+/BaFujiDluZ4qPJEdC3exLzF
6oMoY5M6VLFtGOIeI8MuyUXR1Hb/2oMlxIaB4A0LZrE9Rnf3EUoqjAEQZnEB7nsac+UV7D1DfVBu
FsAxrM6X9m9vJeBwDFZHIhgFHjq/z29lXwzF5KilZYiC9XZFL1oVGmk7Q0bC5URUR3utzBWkGcXy
1WjFIvib9lPfeIdEG8Xdf31C5KVssgZLMI4kF68WJFXmsDTSEIOVEOcaB/7xjRi0oVisYbiyg6Iv
JyzA9IqEe6D/maEAvqO8wKFs1yBlwm1/+aSe44cRA3wkKCBjYL1ot9G5eH6TqsJWaA/ipLwAtPLq
5IYI8yh96mB6NiismEi8aNZXlje8ecyZGg7syyfx2yozICaVIC+92XguUxDGNuIW1cdmv9HnonDg
SI0GhhX/MDelGQl9//Jhz+Hk16AKFBUDzjAgwPFZBBcp+dhFOlKOj0iPRhpoYGgg08yt2ZCDs89e
jhTcLYxuuvTemXiBbbQhmHplyXJpiwD+S46CNOwj1DC5xGMcWjZD374y8079bK/yJwYb8CGYJDZ8
EIm2Ynf/NCpXhKzDbTXKEmJPvbMRoOHHUDKqFzHmxdy8vtve9Jcv/Hm/gYduZBeJ7vZZWp787/lD
R0cpKMrE6fd1bsRWqPXNfv/EQrNqZkt/JoqAWOzCrp5G5uEzQD7GNM8jkOdz+VfK6f9f6qET1o26
Ooar7a8C5zFh5P8tiH4a/mq//7z8/U0NPflPgKY50qEmy0Ho0VSAT2rowX+gW/D6oSAeMMaKYv1/
1dAD5z82HSjq64C44bGO/quG7jv/8cw2QTYApQpsKfw3aujPX0JgWSA10P+QEE49wJvxfFEgDpMO
ad/aO0gsGloPhkGf/CpIbtuhGV9XlbTtPyTYvx3RzEjABXPdCL1rsMjnRyRr6qexg2kLfaJlAjaI
4LQo5djMuw1Dfwoguzz88jTebu/2iyrJ2EQEMSg0j8L836XlVYeOBMzlSu50CCd7V9InNjSwtPR2
KzJqe5310TGMQnxw6qLOvuB4h+jWkvl/a2+oH9EymLt95nn6M6iPik8vn97z5Iu7HpD6gBC4SNN7
kWeU75+BdR0Ca1PmMQzWLXgcze0YMiS7juF9ADpcMKut4gMaAov8U97BAvslv+TIFGCsITYmVprp
rj0/ciHDiNkYC47SHFgdAySxd5XVONfu+g7W6w0q65h5F6E73EvGR51Xgilysa/9ER3nIRMhOnhC
FvW7wEHu9g/7g/O8GDqfHcmX49POMLXYuYL4pQ/rQ7VrVAih5v8oO48luZEt2/7Ksx4/XINyCLPu
HgAInSJSMJPkBJaK0NoBB/D1vaLqDYrJ6uK7k7KipYgMBOB+/Jy9125jIIUXUb1z7u0BlzDMoozx
TZW5e0zpXh0Jp18APLlp86PxbO4lKOLD91FIoGRjXWjX6ZAlWrQ4Gsy4f/706Hx9XlmJdOQ0o7v0
qT3BePDTylrB9uSgxMXIkcQfMsrFDe8mP4FH1feu3r83Zb5u4Av3T2mi7NeuZgCFz8aVt71Xl1dL
nohvuKXptCCWH+40ioMQxBx+ohENh4OKOhFfLaxroAuy1FiiYRLGCyaBRYZoUcsQM1SR7jpEKUwf
MYKuZ7VAsL2z/cx4XePm4us14zEugxY0THFec7NOAs1vLOsuhwtgbsDeI64KqsbLTej1KXo1ZPJs
kdsS8EEOtok6ape4dc0gOCnsIaJAuVAXwLG48sHtRQufExLeq6tBUYv6jJLmMNJ4306LqOqdnNq8
CGOpuWApDJfetMi552DTNP2hvyjeb5epjiF3UeHFgd5IbUB+JeY8dNwJ7QQF+fyScECEXHk5CUQ4
J218u5mgZYBVrNiw4PAbVxjsaKH1yW6DGKroXQ+nMAJvIqowd4fs2l5du7+us6HBLINnimPlXJpJ
SOZvosKkKdC26X8McmWzxt2u82ecjs1qNnCiJijJu0XT9dcEA0QGhWHlmlPPjmhk2n6EMJJ0x5be
tL2V+C3Lx2mQw8kblIXrs0jz5XZkGpkHRtOVT5zMYSH5ie+9l8vq4pfrrTQka2Fm2uGv7itA7IFa
rKX4BqJSzmfHlqzTK+DNkzYhZAxK+KqXXsnAkoZdVX/zekS8W3K04msv8eytQwM0CapksmyYMbUX
DY2/ItdSctrgSx4P9qol3IPmqIdKzjWUWlpkd1iKvPesUUoLsHxj8BhqxiGVYdwxc5D9kdwCJcGS
CX9+HG1mWEGPtcBHz+8ZIVHj3RmmJQ7XzpT1s8bKMu1ptjoPLULm+SC0ySNmE0/snVfYdPunOYEo
Y/Q+5/S6n5pDJ9p2pyFrPlql94JouZoD54LOWimUzLfWifvtgD3/fckF1EA0iyxVvbXMxkagVt4g
AB5PUEhPqpXru1GOdJ5GOeyszJzeBP31a73P9UdX0h4NaQTV/A3rLPdS9daNjEV1SIDDPYt+xIIt
4yRAaAvzEedZmA6y2Qo58f4pkhc+eC/ZJCgkq6DQmmnrF9AUAhht3Lt0zIwtetMYz5aXs46rwXhD
5oZcRiLFejbqNMYDVxCoEOJT7ve9gOJKvqvlbcFWf2CyzR+13PZ/kDsnIBfx837I0bB6bFqg5Rj0
3Oxo9LMWwvZ3I7u22o1Yh/YhtzWQO52s8+ei0Ysog3OZkLxmuiwzfNwm4bhFopM+79MKHgbWrxWX
59FdRvHASF+8ZvNS3/azOYdYmOMgGWv30GWyuWoax9GCVhfNqRUmq0rTYXsKacDncgsnXfTbcrTb
7dIZ2kdD7/O6A+q0GQ0w52HdxOlR2aR5gr0dix/NsKIeBCeSwxvViKcvlFac5z7x/N3sNiIasn69
14s2C43cs0+QVPJwzgctvV4kNvETY7YiNKbSAI0qEboPpt5vWpUNfkgflcdNX28LH1EhUmapvraW
y80aO4nFOC51twjDkrOHc3SHsFkvwEdJ6PhCmndFssqIK2PtsWSjUBgb8dT56J/QrWfYQdNGW7dI
G7FcA/8jbIgz8j4Ho1ugXbOz4zJ2y07vSiGvmqS0D1atLzsSkMyWsSq24rSsxwd2/vLVczLrOjf6
aVsx1YnvpLFycgACBqqlW83uvqJ/0++1dRzv6Hal+Kiy2DmJyfeK04TweTMt83rW6hl6hI7CMPD0
krWMRgKMmmH9biWDPSLqtJ3t6hNcA7W0sb07MNCVdldxp7cHPHOrv2dD1uIDFs4ZYdowp9uOO5Zn
u7BvBmJvQl85ajOZuopyJ9Ww/uRjpA1iOM6lOE+eOtDreIRmbF4V07JslSZ3OIl2nWu8VeV63+r+
x2C090bjb5zCfF2S5LZf1dZes3OmSfsg+qG7Rb6NA7UcvDGwxoQ1NTUeyta5loaebYdsCgTKkeNc
dfwfbaIQCz4zhVgZ2HOq9Uus/HnboYffAurM99MyGBEHc+vATufiKczyj7g10o2tJd2Oe9DdYICW
rxPn39PES7jsPo2z6T2uo+1Z3ROS/hgmpq7tybSeh62OL6gMhCXr7NhjLVlCwIntCXAlpihS5NuL
n5Mhsl2ML4Clt8Zc69k1dtlRRXQm9a2LG6YcAi5onLxoYh4BUsee9tBmCY7WhlAzDolkHYclTVGx
Zxqpe9fKKwTcBrpDj43OomrmrcEVLqqNWpnc3yP1WyNk3jFacWyfIW3FODlW4KipdaW4mrp43eLv
mYcdpQbedUypaWhlar4pVO5jF/NH1V9ZSztvMs6xbejgsZ8iv5tAujEJnPaG14ubzuko3xfLBvsN
0NVJw2V2Fx0d87re5zHXnGVQWEZop5X4Rh859TdmBUBt7fSVDBJywKctA1jnC89sd5Uv+qLCGg32
HPRT7URY69rzygK0BU631JsJm9K7l0jrco3czdIbphdZUHxsoNNZ/uhS29MvUdUAsRg/krlDemPf
uVoW46H1ix+tkWhfMNVl4wbvb30Y0iTBV2YXjAVddwh9QiS+oHTzEE7b1XjsGrAQIbBMuzlAzIzZ
OaZF7VDtd3vMf3U0T4kf1VnX3zZVVad7dpPy1tP8+dtoAopGK9EfEeN7dxNfvqbV9jx5+XBExGhi
aSiTJwZjVTCmpjS+gyARJ580j30Sl8aPfLDcL8l4yQVs4vGNKyu+SSPWT3xw3DG8vbiPUMWTL5OV
on92sIkXgTOvFiGTY4ncoH+dzWberJzlwsIa2/1gFrgssE/hBLzMrDalrVlqP+Kt/d4WEs9MX/hH
A0UXNgECT4/wNuoa69wkee4bWmkNovPFmuejUw3TDpVgESn83KQ1t9lz7lL5ra3jHXWyLQ3QFTOf
5Eh/YWtrAjDsbBTqanKsU5bkE5763gEo5fAfXbl0C0ccay2P2xiPh9jKkx00qkVsWLvUTWNYJ7WU
zf1YCgXIPbGmg5rnZNNprXe+gO8ei1TUp0oa3c3itst5aStbcmSq/W2hGpLoL61hqHsHABKE/Vpm
Gg6+mu8wrms7bINavHEre72FxCkDvc1xYeIbxCXTie4dRXl8VRmTcep7bfhy0QvtGakDBvBhG5kI
kM4w9U9JPty6a1xftctIc5gDwDFxtUOd98VXUrvVi4jH5stIsQNewrmDR7ajiFsCPW2Gna3p8N9x
8l71oxjClo52wADK3BqdMV4jPHcjsZo5G1qpLm4VyOm9Lze5rnFg7Kr20VKc0RsPwPoC+Tc0kW0H
WVYYO7W0V4hLjI0PD+PGLxiEKKdKTyZ26JA5kxcwKhluraKID8oZMaeMajktQyuP7aS0R0ouI7rg
gk4TPDuIMHzcfO5dn0ddmrrR0tvm05J05c6z2vWk6lpFRAO/pm0Kz6FGUaz8atpURTbtitj66Oy+
8bdjsVabDEPkqdNWdDEIuID4LOatVi0NwvWhvq5q3cHzm2T0w1KLanrR5mAdC7X13FSelhbBzawt
y75wNRHhBVpOlQ2dMF2LH77yhnfSDIoomWZCrVMz8SCg4IPIRhXv2iQvdyUqe8r9tPbh9jdXFQTh
JW7iLbV3fbIdPFKuKQHJ4tP/DoFiCZO2TVh3huEGjaN2ATkN3FNOFqZWDuexpvKIV07qE2abXQnG
F1vdejd60nxE+ZXv526qtzAZU0oQjBwXCRuhYMAWwyHvuA+sHmMV6+6bT2X44fYg2sfJYJ+B8H+o
hli7Bk1f7Ahb9r7gGuLsJGWpTij+x006lU/emrDmClFBwaoz4Chm/2w0JCSQ7HuUjY/kQFkORytj
YusvO73i4KKSK62fIMeNUt9crPJXcesYWyWTBz4TUpatzIriNB5Q4aknLxZ1uCxzeZgX/TzYOGLR
L8Elbmo4k5W7S5es3liZrNqww7McTQ4hZLppsLwAj9jWCiZ4UXCMMdhbHjOCnQmyb7KDR33Bga62
3jAzV9tqVPeWRN3HXuCnz3qmnUsIx1vN9D4cXZhHPm16rmwtBz/Ldj7ukE3fyZulnNWJtYCjGxFs
D9Rr674AYoUxy2QvnbMr0MwwJGqwxVUI2Hnc+GQe7eCX04P12d4ZQ4o9ra94S3H8raJ1u0NFYD1X
uetfdwuwEIF1OhD1Om5dNbKOFP4rFpUHc2qNsI3zPmxbgyAbo2y2jrnsNR6gAHmQdTUXXv5el6V6
VpXHJZgRFx081QfWstbnMkdSGCqC2B7ipW23k3ThaTuYuSwqn3gv1vVrJtJ1O8DW5jAmRsRRSVJt
OjI5QrAtznggOmC2gwqzM7w7OfERdivBZDgLeJA6jgiBBzYfpmv9GsvmuZxn773D2HLiB6tbFzC+
c4i7UVxD08Hynva9/TUBVHN0UDvdXOCWL1Ap+rOCSUIEjVq6vS7Ei92Cxgkdr2+vJ1J84WDp7dnJ
9fzY2Zp93Zu1dbYxuYQXw1ugoLPccaAURyAcJBXXY3uExQ8ZLtFS41BjQzlqmD+vZdaDPkzL/qbL
fP5ZqSZAKWI9ILHUaG3Y6ntvT8ZrpWQV6SD9+52oVeEGBVT9vY9nygoGOl4Hxo7w4xxOAoOFtr2j
rPvSuqv+Hmv2uvFHb3mHwTfslPDmbe82ilCw1ChPVVwPoSBecDeXHIKIzS06VgX0lXBxGWXiFJox
1wb9UFlfGKYRJh9DVdh2q/Sfm7U0mH9VOn52bRjJTIi77m4gb+7JAtbqRTmsk7vY1Zbj3Ls0QiEk
vaFB9PeFYVhfm0Y1x6QW71pW1kcb4UWoEcb+SNn+UE4iu+pyTrQBNII7QAz6c+pQyqbtPO514HSv
he0VH23bsr6ZDmVWL3cNg7vjVK3+FbJWaiRZ4A2aOu9Od/t6k3PT7P0cs4HK0WbNbT6FNb69XbMk
2r2p6jssY2kEfvdubEzjrRxm0DxQS66LSX0j7bO02LB0qQdg9dtXX7cnfceKdKGmNomMOCUJQCjZ
HO+Zsrdf51508CML7ZQ4eSEvF7xFU5FcV0hhIqeEBQs8IHeOVj0rojsq4sbwcQ32NvZIacLJhT/d
t2xvL5d+ie+h92FInSxfatu1n+dday7Oh6ucddMZKr9uk+YBm+PcvKUSv18ZTKaojbukcieCz2hr
3E5FKeKNEp0yQsJAjaMx9h3V+bhiAulZWOwNbrY5feroPmE3A5bzavits2zjUo3fQUqMxXbqO38X
y1HjLnRX84RRyL6bip72kod9jqaRbWu+CZeH8VzCeC0vsr3V4wXf0sGjOq6W0vFOoptgDZp9sXh7
WMlMi+qVhstVaya00hqNBCGk1Choot4wtCiXHqcsQ5XJjp0PbAMEoPHMcgpXvJMqo81dkMbAdIuB
2FeVchS6SYupdH7QgStazPXLhNeHCy5ZPNFXXGxHEIM48iHkao1bLLoxGNxxGvJtTtXyPjEYfjQ5
EBCFU473qKHm+OTaqnySsEyfOD11JaVdZX9f+8IZAf97Yr3RJ4z0OwAy6QZIpX0z8pRxPM9NQXAV
MJhqs3BqvSYwaR4OFb3Ehc5FPJx7M47rIw4u2QVNbWaRZtfVVU3c9BL4XnopN5tyrneY1TJKzSlB
NRK7ZcCSUMC9SwFlh3Xdlj+gYCV9dCEUii+Gj+5j12RoK7hzzbLcJGZL5xAEj+w2mOpVHEAOs5ob
A1wzcUZuz1QMv6Jb7K0OyBteTZPvr9eVz3WosJMF69DN52mdeLzh3iOCBhaIBnMeBr7dpeysw4JW
3mMME5wPbNKXFbP+QGR2sUqD/M0ktafQjXvaeOnUU0zAAl4DEFOOvm2SS3ckN7X52skHdw0TQgqe
GXioPQkZpbh3GpQKZSy0LrREDDOBQyJnZlFb3jVVeXqdJAwgQutPEiS4DD0cuCEw4FN9umGeFKoA
DGjnpE94RaoHpcrpov/JM1yxv4xRSc4L6SxUYJHfZMq9Wy0IopgZwCYfiBG0aGq0ljoTZQOEEhMI
pilnLQjfzCUD7JmijY5TXs+PeYoIJMpQZyaBMyGMDCc7m53DSrYdBmizYs2Ym/Y9tXv4NyMH7m+q
j9PzYFn1Oyyf8ckxlU8PvB1u7UE3BrTYbpkFYp3jICePQ+2ADyJXFw440UNaOrN3gOlEnzbt7Qaw
phLD1dBBm0KVX5wx9SwixKFbPlnU788L8SE3fuNewNtIQoHyyUZ8IadKJ1zMn6H2UCy7L2un/K1G
p5xdeq49J/Bad6qeM1lfAp2qwc1+gPqiZW+k7ljsBzx0C1iJrK62tGEG/yphv935ok/bIMPpN2/5
y62XafIxc1pa7HHHLyLbjLPL3WcVpjr2iAG+mmvTP3qJJW+MviB35w+SJwQ914sk9SOIXgnN9rQu
iJbCpk0yAnHAN5ZRRvoR4b9rZZm7Cv/HudQ0wzyLzq2s01LWZR8g7zTLg2Zm9QjZqHPZuBFCx5FL
Nx5/gFH5J8SqtOq9RWNhkwVj4nKR4jhm0qqOOhL7esNZjZtb5dT7kSNG/XtGNmpPGnClHmwJS5mk
h5GnQufgzjM3VtphAReGWwlJ4Iu9ILv3miwFF8wR3NmQWIW93I8BKezXvipuBk/6qIwZoJo0JAxK
q3YhACnUXJu30PNUTiFpRxwD/ySf6l6SfgD5MB3o01Z9g+jaJKx2Ysp5sYHj24ZI9H0QykIZqxwD
ZAXA2Qf6ud5L1sni+2J2KeFKrVU+mRSdLQ9rYT3hAAEENNazTnPdrVCqy3m69Xj8AFvV7vxsLMWg
osGnuXLQM1VzsB40/kIXMyHED4bsAkpJnFcQwRL9xu5r8RpPNJ4r2fGAjonko0sNaAI7Vwni17KJ
sptX9CstwgpY0+lerHaLdJ7qNe+06ooZ5tJGPkEtN7bf8dYI79J3WOKQFjj4lzdYXxIrygi8Srnj
DZR1OjJPtYPDb807DOKkPg4XkWU01ZNdbhpVLkNIkrRqNiVvBxsMyA5Am5XZ3da+z5rHJjxG9DkA
8nLAqeqrMVfqarBXj3OiK931q2NXzdviumLAzwic/SQ4H0FYTuuE8rRSJkKUYQVh3ntN90VJtyXg
p2qYcyxajhDtjykWbIqqOuD7tIkwYQj2Ck7Av0EdR7b7MJsewlr2SKa2fps8FPlkwidk8dw4PGxu
QOSb/1TYi5txHvXkvZ/RNzl4vaobcKDJx+CbF2xjQk3XZLZ/SLEbs+RLTz4JEa9gpMbeWnGEk2sV
NkAv8Yt0tiJhzvTbbYvffyc0jya/pMtf7yey0OZdCoq0IVqlvooNs45PxOJVzvvo4nc75z5swpue
aJg4EIh85JU+QzkIJI0SE08cTJB9Q+Jxfzk/W+WBrKl4jTqU/QMfUNX/6OGHS8ZnWkFKVndxPs6F
GX8z4Xt3GN7nuDxYg9HLFz2DwP9kxpfqwDOU621Ig/bdjUePonuw4xz0WmogXTEk6XJO46V2RAco
i2pnoO8zxR30YIYoWXrAJZlxvFQQIyVxCewUr/aaZjAMZtVX45mufD7cVV1mfllhxbsbWFgW9Ihm
SLBSdGIUt6OmIWqqkyzyJkh3tWHejwlRRD2twWeXfLy3JNPjawH7jOOvEKc+S9ZnWzQZFfYw3Lvk
Ue3J5BKBSABvWtLx9gXl0m0HqCcygTy2UR2v7hXFHK9ktvoIkVa4D/gG5FtRuQm3j5+5Oz1NuzNz
7PLDaPvpx4AKKOOpWmLoGFN3n6GI9k9qrLyT03ZOH2mFUlmokQoSKhSzz64+Z/shbzfS9HGpF+nq
focUEn8b8AR80Sh9I1dyK7hF2oEDSsQHmXseIZSWa15PSy4P7lTrtymJye4+RbtgHhUxNmVQNm0f
ZU0u9ywGYs+xqm8DWiXNa5ti1A7yUWnzFpVdzT7UpS9kNOV7rZzpAHjKPyGmn48C9UboGJp/vHCK
cfsV7k3qkyvhLBI75FytcRHZs7A1BiGxQTxcuj6kmYbQPBlq3cZ8Q4PLW+15D507ezElDnzEgsUt
T1CrRYTlUFS66TC+Kcsv6RsyimLoPeVXEiMnQAfaKB1j6QzkQcJJdzv5nV9sGrdKb1f6rbiY24HR
qgAWFdhGS6qA2cXVA3jj9AezbBY7Y+LElgKVgJ/Y+q0V9lUKZ2VK5QXYXqDFBM52VHANB7JPszTo
yrHhYyXcKZ+y+LD4qoTS643fSMsogYGM/ZUJTPFgNCXDMSN+Fh7NrQN2NmJYXUCsYrPmqn9elPHD
y+z8hsjxL64wFrbCptgsdLSumJ8ut3ObFnMILzG7b6QSkduT8hnQ9cxDMh/EUc6IJBxLGx8xtnov
Cy7XKwOJxZlmKjc+CQb1Vhe9Hs2i494gXt0M+hjdC8hqLIXUV2Z8KF3dtsJ40uBJwBRtIr/Su/QV
D4Z2ZPBGrmrf9qEGPmIHTWGA/8ALRrancjg2nI7DYhYP+uxVVyhJYFDpuueC48+BjXPNmFZz0D/b
44LhryW0+HqNW//AAbl8YuJQRaC6TJpsSKFDQjlhk9okhJ5IE2y+z9nELqZgKH9Rrefe4G9bvvlt
Z26QMI9kjPfGc21oio6uZEvNiHVaqF8IpN6OikYWXLPyJDR28oUcgGSb6CaZsVr7Aw7JtBd1Cwzo
IhEK/2+qYPPZRQwfW/Ppi44wejdcdncJRdZTsyHEO+K0KA+DmUP6Br/xG6PEz9ochImeZeIiQZyM
24ko14ua6S8alJ71EiN1ypqbd6zUHuCH0xqP05sSJvM2vXJvc2X+VhP9s0jqj5cFJ+Eg/SIwGW3+
p5etcY2IdZEMtGvN9YKqXOw4Kul5s6RWHocDonq836mB9Ivc56/KyD89Q6aLZ+jiIPMRnf30ZgfE
iVXJ9Fn+EYw+ESfJHEpn8QpQEMl+m85qfJxjgHm1QU2NGMLL9wz9OfFNhbPKTbo4+utS4izhAJXp
HF4BVbbPgqxP7eBodMxLGjPYDl8ZN1NDt8LOf5AJvRB+ggGWkl2vqQ/IQJNvrt8wAgKLT7q91fi4
qEXZ1Hc5bQ0tJIXbupmMdvziccpVYSUpa++aHpXjztTHVhKfUk3jRuZqWWBPxm4XGVIwnss5GF3C
beyLgkRrC1ZRHjpaZXjdHv1sZILawYM76LgiNKZKqmtDIufWg7Bq53628pJHi7PCK8pi9roUEt0m
pbTaWjgY6gtm2rIj4HMrZaFWxbCEkaU4FwylIQ4Q0IBaLkO9HHAScGabye9i9ey79mgUTsfchPP1
cy2zro5a0Wgf8NMzao15dt0dE6vsm1OCPNll+eTJjR0by1vpzZkeav08gpyZ5kHf5NOMMKBLVyeS
LZ1oDprNzBJAdwzKf26N3aGsZFtwmiloHPtu35/8tWCb8VaVlyiIegQvhAYtBcptH792qmX1LqkG
BHONY1nVJnckobGNSkvaAsBOWb6RzZD3UY790TZK3d/CsFkPOOr0efeH4urfEo8+Nugbqv+8/Mxb
05IkmaTyv//zp3/9r/rSn75r99HcvFQfw+df9dNvHv77jy8nH030Il9++geyo0wud+PHRTY6jOWf
f8X/+87/3y/+n48/fsvj0n7813+8NePfi1AvJrb/XYS6++irl3r5qwr18gN/qlAN8S+SJi4eRAsw
G3g7FpQ/VajiX5gEHROCKc88ZpzLolA37O7/9R+CH0KVijLbwluJRQTd29CMly/Z7r9MsH84/AXT
S35e/Dsi1E+LrI4X+NINuxg4Xfbcz16L1SXMy5KoQGAbJ24SDJhqk0DasZ5zaJ1Ffw2/ZH5jij4c
/nKJ/kYZ+kkIf3llroqJAFegbLbsTyueqwYYPEmaIaipWN7dFF1XB+zd3SQWw7wItQMdOAY5xcdQ
jdXvTCafjR+8PtuLLSCuoIbFqPhJOShtIm1bJ28gIQC6BqFSsud7ztDsmmH2v1woPB8cmGqT8nM1
wky2RrOTg27/+Uhxp3Mn/s11+Flq6V7+DqTqGI4heWAJ+GxTnfSm7DqKgxCQljjpVpF+ZdagjmM6
s9n88zX/tLddXguxMQwX20EKjMf5512mVa1a6YszDapie3qk8+FFgj1eu5aWeTl40kg///NL/nqD
8faQ10IQ0JEef86BHmY1yxHUWCjR0mZBO8yiOJSS9hYiLG3ekWeltzfuOuiv//zCf3ddbcfhPbNN
4aW4fP0v5QOSOXfhTFIQgc3Y+8aZcwZy1nzpAmjJ8LtQwl/vZhuxANRKDOO02X/5FBfITpAMyhB7
nDgN1fCe26Mct+sMx30yiHBdkPbmREXXv3mO/uYCXxjIlo1gkTf6OZOwHaXlLRclTjE7guzqudgk
KGlw6ufvVW/4B0JVxG9sSp+qlct9RF1mGsiD+UR/sbASMz46pQWxFR2a/vqnVDpnpfrNy/z6Edo0
RVwk+rh4mBd9UmfX1mB6ZjuXIXRAGqNaQTEY1+P6jriTLsA/3y/G5eb/SwnGm+Ly8TJI1Vl7Gd/8
fMOQwlHUUMabEAJD/kQ/ESdqZejjjsxHMn7mllyyCKwQqNd8RB0TKHk50C3urDHdqgVFR1qr7jd/
1q/XgDRRVkncMrhyfoHa4PlKAO0uDVSqzlpOOvSlsJY0tsChpP6/vRax4Vystzo7gov+++dLsC46
vt6kZE2E1H6iFZbtRGIhahhs1X775+v96z102dyAvHisDJy02eH++nw6rEA5z0gTKoTtOysH2RNU
DPvb35gefn0yQRJgpbp4HEGZ/GLwiw2QIXXShDScput80codngfwwgi3AEYKP3nTCRd/rGIN7Ow/
v8df11sX6AYUC+ydrLzi0xokSYKWc8t7TDl3vCLXXxd4iA7x646Zg3MZiXf+nbfrb64rhiOMk6wK
3q8PTWd4iVPHeLtSc53P2lqWT3+4GP75nf2y6mAgwd/PTsKyh7/p8vW/rK7wSwDa8o4DDKDa2bPz
+DruPPtIdmcczsQTPxg8vLf//KKfPf5Y1bBQ4dchz928vOqns1nTa5NmTTOKvRJD4Sm2Em9fwvhl
+EwOA52YdUl2E0oHWGrNyA3FXC95p+1f7wd9Wv1DrruFtSe+2Fh/81H/8Wz8tHzwQePtQ6pmMUX8
pZ6xmsKXy0SrfkVlvfNM5Hs74PAJOg2TpE63dvMTEu/0HFeJHy75ihgunxIe47X4yFyUfqGgKQFN
2Rp/h6T4YxP49MfhvKPiwd8O+uWzmxkaNS1hC7U10AnvuZdT9X3F/0yLlkSruzWvNf06I9HugoB1
KQMNprnmZiHTB9UGjBzhqnpvju7kXsIdzSM2AaVoB4xuEg1lPy9Ru14yIgvgIPOmz8epQ4ambIQb
XKw5Wtq6eG96bqYQ2Pi0bpeZw+MWZKfZhswLKADtdhmGAKy1fq2YGn0Q1l3Pe0Dqeb6dEeyrbWt6
fJ+5YOvamCQ5HJPFJ54zuTxbvZ4n0KCw9eGcH+X93BvZWbfiegu6sWAGrubyzTXKBQC7YmDhkcuW
hMSq8RsJZJjPTbFqI1Q7yzvRyu4IHmsnKiLOtl7xLXfy+SbTrVlu/vmO/rw4sapTx184MzCWDP77
82M0l4y2qwmdn3ZTIkDGlFVu7Khxxt/sIpfdgl/1l1sAfxO/38Ti7f2RXGx/WttzJi3S71MvMO3M
SV80U/Mhg5E4NoSmnk0o9foBojNi7M2qI3Ngvm2diZVBr63HE10Y2VtXzpyIG6eGZBYljp+e12El
Iyy9smYTijuWU5QmKrdD9rT4fgX830UWDx4iCWKSyNOoyp2pKjNw43jt0Ttl31dzAgBPU7QNB8XI
qUFst2F0rL+oYdk3c5d/1Zm1EaEVF+ohsyfMMxQ8XgC6R0fHjT8sGBZsMhFC+bvLkphtuyYGkEiA
EEG3pjddIcnLw9ZrnH7HQDSeA+mlrP1wSy2EodCY05roC4T/br2GaMiUjrzSc+9U24vrokyRWmu6
sx1TTe+jC3D84o5onV2aMjnEY9Y3gTEa67OVZIfWbq31hQ8dDe7AtAu9HmzinYbNHbArO0+/1cja
eNRp6aJcG4cQQouLen7J74ypxZks+SuWjdE5mrP3V4+WY7U2US7K4S7Wl/a+Ax72YJpp9UG861AF
hFwObmCUYsD80WKRicfkdqQpaO36EnlQoA+D/wNBQX9JbgM9R/bNDBLYWD1awdbshrQKUTf17jye
0bZ3d4aYygP+teyq7mJx1KS1dXrf2/bWbJ24+PpNvZBV3Npavsu8cbBCzaBHtUmYy8g9zZaPNF6+
E/eH+UWOyv/ac0fdA2lsIaCPXcGcB1URIYPWN6l3xl7hpA/qMn5CSWSeUYHgxFvNdyNPkMhkkH1p
jmgGE9VlWhD9lz5hQ8yxr5fKyU9VJcR96xtIulZil7Af5RZYfU30P+bFbbyw0ShNd4RNGcVNGbdv
CEkesnzwgrE3FSo0OvIo2NcSirdnGU9oM/6HvTPbkVvJluwXeYF0zq/BmCMyhowc9UJkpiTO8+Tk
19/FU9XARTcaF/3eQKEe6pR0pAyG07dts2VFuAtCKbdVUml3aFDhKtHo8hAhWEcMcT/NSCYRAHfo
U12FxIPV9xm3J+2KqVfvAqzu6ZrxrdyZZeJSfefwbeLUgmmV9vwE6StjtSpEd4Sh0+WbIkiDgIKY
xnnRSZxEkkjikaElO6QA3GkVJS+1Y9dlJRvaxLN3HOUzP0n6STkxwpDXiDAzCNhlf8tnoe1wzWjr
XjfxdPS2OjJm23y5488BjyV0nOYRGFm3wsWI/9DYUp75Ro3OW8LkiGBGoKkRxWFSAZUQvMdxjnk6
hHH8pza68Rbyuo5Yz6b8t0w8Fg152SHxtziGKNBuB2DmUTitqD2OoeGO8ybOVE3Homo2oO+x5Shd
XGUTMTl3Fey90PAHK3otEOMOjhc+qrqr7/1Ux79pucsPRZmdk65FHbTCtZ3DPWisr0rNXxhDMlwm
RTr84rbz2zN5uSkxfDeqNj8SAl08z6Z5oIUo9Ychh6gRXsVUFicNe9x7EsxXSzmjn4bxpz7/bor4
1Q2936jeSyPJdJwwRXFIYRbqh41Ddqme9Xrt2XWxgUXxiadj8DNLXnXRxn5nVdukmF8NB3k21xTu
KvVU4CnnbVq+hkI3dmCY//YTjllXfnpW9a1F8atnjdYKrrzt5z0d8W2ovkiK9gl+8emH+x2K5/zi
aqm2FS36h9QF4HdwDn5Z5HQ8teG54hnLIugdjf5cB6HrR7x4z2VurBqdUhI5EMlpyiRcY1S7ZubE
JzQPNEAk4ZnrJ16hrETmqagUGctJXPLOBEGYs7vRyV7wb9CsIw3M2lq6WARoyzJpTUMADrHnFLrH
FopaV7y6lcMshKeUtOeqMJKXcISOQZqNC4JVbxTfE4KqGFvYDkuD75BLKJ++Qt8jOMBNOP6Db9o8
cHvDwdPU0mxXiW79hmmFsSXJhfrdkeP5sDq9OGIwqs5mSUDCZHOpVzF/dCU8/KzDNW114Q9Cqge8
587X8+JVm4bTjMa6abxlyAhhMEoSa6pCHpXu09yiStPv/qcFub/ORg+DPhgU/L8fRRoc2yYLdrEq
ipUw0bNNxCLEHM+3LGWswyaOYA647SVzsleHWHvumzqG8iR3Xup5Fizc+9eECJqwwnvG/Yv9o6Go
kR3vaeL+hPY0+JyxWIFrq9vgCvhpJSuqQXIiFoWDYaUJc8IZLVhrmYZPSVX9yKg51lHqHglDs/bK
ir+uwD3Ovzv+y3gY+WYWaBt3KqPf7KyLU8M+aQsuK3uYVpe9EqnkQ5H4O4ZKzButKioOaB36U5hu
51TbcWveVaOcVjwTf6hCnXnqEDV6iEtPpPrcQ1NNz5Fu7vVxeORFBf67ei5alXwoVd8hntLKFbEi
kpX7o09ZuMFJahzmoZHoWVPC3jAAEFQ3m4ByDrpP4svM6fzc1MMzizV87qBGbXvyzVI9GTVVqFZl
vpYpw4WLzu2SFkvS6FgL6zyr4S6jmoOuHy7STC+pU70E82IVRrXYp+PwtyTfukLBPkehzrmBF2DA
iLwaw8WdK7S/GIEqrGyAbE+xUZRcVbExl61Nx4uEh56NZ0h1O9wQxYpbhnMIWnU3Cp7+rc4PkmUx
H3jefTrh0K4dZe4wwZikIYsovWghIRNiNtT8FsUrq50fJhsqRJuWTGcqyx5+vobrjSKPHrV/usC9
PnaNh7O79z45wC2/iudfwRDH7dIcV60MO+GeQlpUj6X2ZCoWvzKzCB/M/X3MeSiRLvLVxD6HLvmg
XIGEH0iOdgIT6BT4RZCwB443ZCZ2kUv0yJz4/3Txc7r00rKF1ID3518jfbB+Ohe/MX+TyTAJlbp9
R4NFEa1yEw99OxjXgnu0j1HvxS7qs50liDKSNWfuVV/hqJ8I6KhrGqT93gpNfZ0Ybb0Wk3gfKjt+
AkXo+H0VXEgvBUTG6MfO04OGOc8J93ib19NQbSDgnKhLe3KiZKO5DW/jAlPUGAjSQJiB6RY0NkNW
/46H6Md24gMGO3wUNsTfhd02zaZzGK0m9fH/8StyZLhGZjo+gcol0mfvqijeCYjqW6uRNxcnvaU9
assMtqpudyyP3wKmtpGGJV2aN24aW82bBxJltKcY5m+ZDcc2Lk+zJnaNJvEj0zu7ai2xDdNpOzju
DVX5VcuD30lhklWl4MY2N2Yfb8rSeYxWfp1bK6OhLv10GnwlxvhauuQZaBVCfdY35mCSX8ZXsTXc
7IZ+mm1VP5TkuIzRr42M9A7Vldw4+Tg8S1+XRdJekoRUYGfDJoo438mh7T3FU0CT/C6yMNuGY/Oo
cY42QlRbFz1tZQ3LhUeUb1rHXthR2jkT2jOFtxeTNIhP1ceJHANUBi3tjjYFcTxSVGGVWXgSJiup
0qItSqeZJycA7P2KUXs2QTqxne4MQIUeeaApOc1ucU5tNVwAsfw4kyV8Bxr0uXS5kXObfnfz+uaw
O6be1I72ACj41ri8uqkMI2iFS3cKxCtYMP2FTOo3WUnkIucwaPUz7JcX7AN+B8raV7b5N3bcgTEU
b8bgOL80j3gIbRH5anRqfdUb81PsysLH70X81xk+kde/ejyVq6Bxqo1duC/2qMvFlLoti2zeqVkl
Rzc3XtLQfUSRAFVh1nf2N3dqWcoLSImGdNb8yxzFsekq7BFYE9eZ4TyrDEuF0wbBJg+rm0jjzG8D
hSEC0jyXtB2p6Xbr4cVm6WFRvmM51zgYHL8tgZmxbrmXdfKdNj1cSBFdyyrjvtVhhl+5bf2XBd89
xzq3UuhIeIurt1aTxDCn6ndpjHcdZuuhcifjVegd7raxs/wsCCmC0VtFhcd87RyLdIoMh60VUse2
gjjkrLDzfiV5f5ZZ9RTzAjvWswjWBlPPmvcV3VFogekTz918woLwScGQ7Rf5xDnHdWTmCD07HpyP
da7bxT6Iyh/RperYdV7nO1F8xU98BbR5HAc23JRae7uq7HjrTI7YCBP/q95UmLtdTCZlSjnlAnHf
JIYdrMlxUeed5G/0XewdV3GccbKscM5ugGoX58zCN4vusZ774pVA7R9I5+5NIxH+pLn1dCydWm7z
mI+ZOg6xoWU0fDKGmi6l4BCNcsdiSHxCnaMkKxM7L3f4BrmElYpM3BK32Lrt9BYO3VvpxZQZTeHB
cRoKkcVa60ght8o4l117B726+J3qszFT22uBhkinApsUOARWLdFz7zkvJY03vjU3t1qzPqbCu3q9
sae4RT80Lj8m4brUqPXjJgnbV7AAr3pca6faLUkahM+1Xj7nPS6ydI4/taHekRKExWCZ5yErlV+2
kjCsd5xnqMh19aS0hrGECYZX9RbrPWdU6WzNvtmR4NugYxzoaSfyj+Ho4hLI18mRFNNZNtZAssU7
xHlw180i9AdHpSgmwcGrcrzpIwaV3F2TXtzAsNwJwjVMyvrfrlLLd5cwYoS1YuNQ0YonWmextphr
NGZW+lTIvGUyLdd1Mo72VoxN0/upNXqvDIzdw4OBl/m1JtJ8LXD5cKokSYDzEprSfLHwtabPdgwa
fDXRld7uMdJFT3Ur0rsKy/pvWw4cfqJpuTLWpKcuMgND7QN2M8UxUGg+0CUs+Rslx3oTQ672Apja
pTPssNvp+IfeSBFVV1pll4oXPRbZlrCPvAHND3hZ6wCpD8RHQRjS9uGu+Uq59VprCZ9Uvf5SDlGv
n2GeOC921UU3iaq87sPpOsvgxXOnO7FZ7VspZa4xtnLeVTBGvo1mvo5OY4DcksmRtnJCppSVJdmW
NEn3CZKn5wlrDQy4pc3EGw13S+YkoNCzRMuwkERPgQhflEkItODPrVT2jO16lc39TYbeHSGY4Fgz
9gAtrCuENaSPqUyepBJUv4ZBG3xbUZJeI6x0JbXGPq4TP5hBJUw1qJQGywvc7fGQsSTmbC9pDQ+D
2YIfzbPrWw1vmWYMjzPJ0U1hq/JaFs1p6If3FMDHqq21/qVx5GfhVm+Og0uMCBRSeBU53wlZPmaO
QF+xpppPsddx03ei9yi1atTHRhv2OWfJKmutt2xyswe1Mh8SuyrPXFVacAp63xSlsXayDpDQQNJ7
RX1X5yIcEAAKwzoy1nj5x3Ue4gNsh4MwMBb2xrWbyxiPuwxOrNe/yzQpd2E8qUdUiXw496ovvpjL
QkAxjXvLqrTeqtjNnkOiA5BBwdkBPrDYJYzPCJRrYK3HiLjLTQ0tQJUmnHYghTjPEp1JipLNs1aE
1oMv+FfbqFvMbf5aeE1SEvjG14YlX7wyCKO4Bix2HlPXzAdei1ipebG+VDkzHjVVyc1x+unozN77
rBXiSA/OLTSSd0It/ak08dFGjje/CTvnQeDS1m7oBtZes5KJvo/SaDNGXf5K/dVyAc+thx7iCcWv
E5GxN9yD6moPP5w93qrZi35cCFg/1mANb7jJjVXWmW+1rrknkiLZFXcN93BLJU+ZGwxcJdiik2Ch
e7lWClamPLnN0PuqsigVG4muRzpL/Fb9gH8hCVGzQRubLzbbYGqs6j7WRHSrCPWJbwwmfMx7MjWj
E+uRYoMzJz8MRdcfXMK3+3gIqn1ZWcOroaYAv59nf0gdV1rNJdrnKqVvTY/ey5VD6VDq5UBpPI9O
dOQLs57kHg+R6w+0Ow1+z94bM/XDHmLad6WRHikeBpudsReOLRxUDpVdq8al33Qa/yZGsZ1cI6Bm
Wqcdt5dyE0eGQUEluObdNNR2+Qgb6FrrXNrNU0evNVQcY9Be6bLjvSCreCmtSj4RSSYEFVtTPgt6
/YRRWdstdARfiAmcetffIEygjFl2dhjSgBZti4zXql5YQINWtfupspy1WipjOd4zcSgnO7k0VJMd
49AU4HujqdxiEwr9yQ3Dh6Ol1lOR9GcBkHxtGxb1cJiJP4s2odlXb8eJlZujfckobbZAtI0/gDJ1
lgSGwl4fxs2X5xEZOVO1CMCG2jfKmxsgKtWiNDMv1ZQYBj0XFb47oekrSdXiieSE59LRnE5cF8mv
2ca2mnucy2vX6RYTmoK2dy+1uMCg2lOJRIlK06BUCMtliGL26f2wS7yvWSOhwnAyRx43bjesgqMe
xU15oBE+KlCp0XaPeqfH5h/gIgPfXqJHAenNuWh+YYVsxg/IHbwLIGQZ4TecmVidNdpz4sOY9224
ASqQvbV5989Wgk6NTd/y9Vol0q1wdQ3c3nwskAgpeq/pOzgshnXgXWGXjEB2GD9IWtnfIQiPW83A
H+6df9YJTZ22yYHr6WRyoSjafa/FlXvPMMYORzDVjrENujYd92WXd++lnfFQ0cvF/6Awjy311oot
P0KII5JjJNXU+IQCDOBErVQYjMcGIPLFqE11y6Y+abYkZ4x9NAy25zdWFDBfoTuiZ9NqpX3nda75
NBG45Z9OitaE9EQmYJNYuWmxKrO0cL3UHxLBVGVf75Hl88FXYK/FhuVljp3d1QRKz1B56dGIg87d
JKiq60ZIQGnDTp/FfTIJYvBC/M5xyhlyJA9XPasxHT/KBPnZ03/EmCAUtlC2ydg2LSG8ruK4oVV3
DxrDus/IrWsXe+CJT/sz4lZLCuCP22nzJnXG+bPNYvy1qJFT65KyndHumLjQG8iuMfl0arTXU4Lg
sgzx0dak045R81cTjQ2FurZgbRS2+pYpPshXA8QqSo9/x55LTmH8ReO7fSntQVulwEvCIayv/BLz
gWSevhheb71pYOT3vaW+3c7k1Y3ffF9z294wQgHuzeD6HEv+rKskdVw+YmTKTdsYBXoddn8v25ka
3dz3EViRg+cY9HeoGnsiqj64NNtWk+IrYte5ce6xvH6HJhwrH87aYB6p3MoNtIZl3UrWUCbjPmlj
BnrTShuQRlHHXFA6BuMJc2Pfo+5k3q4s3ck8x3UylZu6ci3Pj6jmIyM+1rZzKmIB2IpIH3EoHhi3
3RrDoMBc5K2wrjhsHXsvy5jciimwGASkINMn4uuaDdBJM8oDH28873VyHvM6UB1/bsepsY3hGWEL
i5sjBJdQdzK9c2NW4UuXTZlxTpXGUWAPgv+eOIXclaaVHt2tVQu1fS6Cc4OHv9uqwmspL7XMSuN0
gaO1QOdKAxjEPBmP1BiB4Xmd1WZ7Lc7mce/mVlrVq38fE8A++vwXgeg6vpmtQW9eWrPWWWtj31IF
YNCCMK88At7iybOBme/5nTGKBvSznHQqE1Ezm/oamg0TlnTS6WiVOa9EM22vPMNzt20GoxMbA6PC
+NZ7hQe9TRFX8UTU7uErSohUyBu3VKuaPT4y2qnm8a3uWt2FiNZ662Zkexly77zMYREf2MX99Zz5
nVcqQxYX8FPdGNOVw7s7xaZ9wmuc7fPIs3fYFRbnx4iWY1jdLpflvAENUfqtgIit1x53o8IcD1FL
32ezLN8nxV7Lt+ze+N27idiyMw8+Atrc9UVWiz7yNo7GbQvcomDKb5pkjwTN3XJouulcNORFCzvm
WbAIcJ8yx0AIItDnXXI1qb2M3Zahy0to/rQKCgDLlEpbnmVu7nkLEWJZq4Av4CWtYJzwmMOc/QEX
NW36xjqHQZp+q1Cf7oLymfvQxmO8G12wMI4gJzBr2qMHiL8SFtgh7Bk2Qk5GlF5mbbBUebZbEfby
SCOGVh8BUogdYbw/WSiSdeoF9UM2kqkGQc7kbzLNI+Nf84t40ghgQXW/CEcsiXwPlF5hFj7hNxKJ
GkW382aKAU4UE/LW3Gjmfm6N+Fjogbo5TKo3glQg/6TxbhYzsSU2tfI7Q0VgceZ0EgSQOb2mLFrf
otQo76nufBBQB92h5+4mV0NwD4Iexk/qTrccsBEnQ5n5jiyqJ7dpgOyXnQswC1wGUh6fkwaJkO1k
mw4HyCPQPmzAByNW2F01LMkGkm0XIDn9ykGhZPq2JDTR5bSrozddC4wTfZjfTSqzDVa/g0MF43lS
tb3mjdFdvM4xjtiLKjZMTfXlxGkcrPVaYtpuikUjTYyh3LJNNDaZVQc0kkKw+e4FLfe+gDKnb9o0
5wlLR3v6qp00AX4UCMnYn8Q3j8XdR2RO3ceYubwmDO0u+J2eDH22rz2dYKTpwmI+amyOvfXEyuwy
chXZtqIYfptW3d6LOWpvoumPie6gG+n26OwRFFCtIPUhFMG/AwiXlrPxCXHBXXWTW1MLPRUXuPra
vnHwAaxczJVkO/ok3dHwmW1sjDoUC2tz9CsKbHcLq14jccxemxVsVXGuutDq8kqhE8MIwnMmTzNu
7p3ukaF1o1yOPih7DXV/DHW+Kq67ppjOeVD6xjiAo3LHQtJjqRcFchdlkpndEZlGVWcxU6yt1U+h
GJpvMujGJUmHP71WePQq1fOBmWYpqApINBm50A4FMbxDbXMRtVLPOukxWlYwa9bOrMcYe/wcmHcl
nfGzaivprYOhnp4kVNvnAtDljjLYbDPPhXtBwHHhmwb7wZoBHc1gvLSeyKSmnvGEiJfJLrp7w1aM
62tcbnn+sUd4WrKtqSp+b3Uqx1fEwYxDaPEkrpQqnecgxgHglkl28GCF7KukD/Y9sI5vO/bWiauV
EMLsQ0ob/CduOlTtcMFYJXZzF2bQriOu/Uy0bZI+emPUP0ZLhhcLWA3vZhmh49j02ihSgxQ24J/J
82TXA2lfayXeAux4EfEmL2e2a+U+jWdjF0Qp0fuqz7hmZAHPf+T9McYAHE1a/MmSYvSbuu+/hkQ6
l7o063ZV9ThQnbbn38NOj2W3ApSBK8gdZcTFJsmOk9Nu3YVsx3J7a9aCws5igGgRzqil1lHKkcQ3
kSzfK6dPQjDJBiPJa56nP1aHzaSEQKJPlQm1RDuXllebXBfwCwZScCeC3wqHkrz1VuTL/YZo3rqY
ispHV1HnlGkcMouKnpHCi5PSsueBmzPcxthely3jhOhZRxrYbo+l0nhYLcpd9mEupuhEN2y89YYh
POHz6PggOBO90eMFnKNhZcP8mLWxXKccopuBh9jPxhYrleZtwt58cbTkO4d6u4XqG65ZCG64e+mv
9DDukdoT8EvTr6rVqX7kZ/NHlLyPYmOMTUJX0+vsViMo0njEMpgTK81XsXKjo5hz7z3IgxzB0plA
g8V6wlk5EGpYuwvZqP8HclQvvKNsIR+VCwNJLTQkuXCRoLrySotIcnuoaYjwoJPafyBKC06JNXF0
chfEUoRR8+Iu2CUT2Zn8F3XCC5JJLXCmYsE0zd6g+cSJqpf4H4jTgnMqFrATYduFhAfsaVqwTxXa
yxPlJ2jBCxSqoCrGB5Hhnbqi4S1ohdazFjjTeZ76+tVaOFM5SuWHsMm0TeIILxgYFSGe8oyK7Wtd
8yvurfzW9xYpwSSPj9Qy6Hsipe1r4JowrmrNBVRY178Rj7UTuNnwpAOkXQXGwlYIE+1KZwnALM4z
tg4LRWtE2fCtLsmJZGIi9Ki4WQ7DmC+oQWJuoXBJKayOvYXV3Xq7EBc3Zm0RMvi/VOSZbgGO002m
o4XJcFazPyy0L01WX67RFuc243W4baeh3BMKtjexSVKIKufu2+vY8mcLS4zhjuM5h7ihGL2eJmTu
53CM2AzP//DIBqTeI6xUJFyujGyAFnBZTTs1LTZqh2aiH50xE6so4G9QNBiwkn/zz7K2PdpKQQxu
psk9lgsqjSV3+WvipFF7vtXeoynTjBbCha0WOW07sckU5R4IKWdAnHWbCbvaPnemboM3gW9bbDXN
e9BwxUT7AIy5hlObAvzqde2kGmEeQzQVCaihdl7NUGp/I3fy9l3DnWyYIlN7rSy7vY+mKV6p35ZP
TeE0x7mb35PazZ8UI9bdSKzmmAd2+QxRK4/oV8mNg+3UfYOMLmdIQyzH1sbCses0NT0h7Wcbi8FQ
Ww3I+OUhswtOeXsIdfRruuDMtYAE7Nt2p/V+aVXFz2RQUr8BfRu8RgTk/xpU77FTAbqnXPquoFNp
PDakwBIeeSDSRPkXUJ/8h9mHKw5+XwxgjTuw3p46KsF2HGjc2TJrxgPG3Dhi+XX0bdstTFwW7Q88
DAo9uy9vImJaeMlHTj/CrPx1AmG41xpBL8FAozf6m4mngstTYodHt6AgiIncNvayQGjQqjzuVioq
WXmYarCW7vmKgKdu9uEfrUsG9qIONi0CnkdpFPq30Y71EawC54NlKLYYxnyuPHaAIQVZT+Uogncy
pd8UEbls5Nl9pxbn2BjHsNMddTGUlm6dSowULdnLlGyWv4loHjqtCla1lzyVTv8Z85CjJqpY+nEZ
kaqKwTzWiuDWGloIaChcV8XVwjEVbjChcepx297rgYCTI2OUpd5Iaj+UQbnTQ8LXK5sabP5ONiia
SBA5HmznBxkv3jZ1sWvhr2yivmifsmRoAFemGusrIgpYsu2VpuNuSRrL20ZTkx8kQ4NvKPcH+BAm
B8yUu7zWu/eE6sKDVwYhZXxd3eyRo2jjDTBCMOwCDK5VeOPnjY8IP94pVYnCezqCxp0J4mzTaEI8
nvmQRNRVa5hJsTh52py/DCWz59rOKfbhHxZPM8CDm0v4F1UeGtF85FxlR+uwPeYGhejFftRkGQRE
QJjuRsVdcmjDgjs6/0zbtBzSLJDzWkMxw6LCQBLuCdgbzdrSxmETYizZIv+J3ofT9Uw3WgqATLEf
ckxMWPTZDoYF8E3nFuTTzuHsmbC6j7mIx71uVBkXB/Blq6IFa2T0FgvVqjSdj8YSeAUp/syfAAkn
p5HawnbFpS9g58W8HPbasBZDe48MJM02m9BA+6KcDzEC7P9ouvw/LJe4dOwl3WtQ74wHnH/+30zS
JYEuc2jK/9jpZ3AJyh9z+x9IRYGpx+SKwJm1TJ2dQ2qa5rgvlvUOi+CubQjIeEzB+zEIIEPUqsDg
ymmobiQHXW5jiSrABndGL9c0JUXkFbuJ5czClR3/nQv4/7G//yH2J5eQyP899/fIyuFPEX/99+Df
P7/kP8k/+19E6qwlwqzZ9OAtlvF/J/90418GxQgug+ISjDJ0jOz/Sf6Z9r/Q1/Gpkl3i4XEdHpr/
lfyz/mVyLyCdzH8wmUv5/5L8I0O4PH//zRKsSQOJlKiHwfBC3sP+355P1WaDrXqLMVaAsugzJ/jp
NW5CgGosHNCZsaBq29ry4q2eRPWzFjUzrwelAxjydMWWOxKjg62lj6J95FqdvqC4m2sTOQtIqC/s
b04E+FrCmcWl0qNh2muszuS6r9oaVqwhuVxNOiZj3+yWFnsjjI5tgiDTS2NnVl4rd9hp4tfQ7fRy
U5lsjbdjjhCLfSF2nx27TR4SWsQiWhgZpLoaNATFPTbY9LxIcHgR3wW6Yjt24gfc/GGeUewVcOTn
Y7uGMJlSrwAaBjURZMc+sgMOlRR0/6WshGOvZY8CTcFzlx8l177TCHepXvHxyS+dHDDGiiLJsG8X
XqkdaqD4hR+EyzQ6hEo0yMeRdzZBiZyJ/uVIYDreqpS/5UT1ToGVOZCjlrDLJ3O/uDwMebUwUXV+
JjLBrMBUjSDWFN1HEoa6QN3kbrCvvcoZ1vWcKIhEZv3M/QZBr4a2zX5vSoePoDfQeFsuOR95aJmf
jh5ab9gWxl/c+utrYMdDt9aVzVaUWToS26osoWTVKrkYlefHQ7+Anbh9evO+MkF6VZ5b+l3pvnlh
eyojhDRhAFjUGTQWU04lrk7wkSs6IrJTgAgWgP2PPHPPn6Kobb82Y1yqTbzxzPUUyy2e0C83Ku6a
fi5JCgzu/D5H6aI6zt1lTmJCBvWKCjC/k7nDvjr/noV8BXcl/YX2X+n11ZoW00P/xO54h+J/5c3x
QhfQMRL6W9b+SZCX6/Ats+M/Zk1TQ6h9xH1xJja/Kmb32nfLj5iyOmAV+iCg75vLENl+1Gk2rIrk
Uo/TrsHvoeOHteGarii6xwrGq12WmxG5V6U1BnJFrQn+goYpFQLNDrrfeXbzZsdKicy7V2+SwIth
LHbyxbNs42Fnc/mTaO1hCSKyIFPL3TVDXy8N/QUPCEOgqTOVac4jteJq8Nkms8oXrsX0qE/iwzZ5
wZp1/xew8JPtJjcLVfy0lHTDhmnHl3Zy/cZJtxB9j1E4NBdnwLkUOqtwqA+dxzgSr9uxeTYl4FGY
1bPpvXv6lzZdGJf81FvDhPRH7d3WtY0OaiUD9pE3fJCOtZLBbcLnMGPl5H2Hs1d2D6jEvugxoWss
cLUSVeIXBLZ7MHcPwxm3mPsonqWJoDLWtAiAObxktrV12fNpTnhtPfxAlrk20d3Trt7Grn1yYXQr
SKjs/0/4NRGGxbZOLLx4jLGgUDKt2FtG+o/STWikYY1SPnrxGmU/sg9OBnfIcPqQNr4Qr/6hZAVe
+ykOsi0TtO+pfayHP5Ht8MeKNgwHoqANHDeQybU7DHCrPEZPf+FtW0Lq9r6F8L541E5DTnJruSFa
NZs0XAd4RXs/buoXmHsDFglaUtrc8B23uufK2QY2jrnaxjZrFR92150HMwVGyIqGG9kWAoA8dHYF
6WnemaJTaxUHm6SF0ROLnR2Mf6wexgcHq5R3aBsjGtNU+2WY3mLuWsGYnTPsDzMBl11gpRndCGm+
1WMrPamsV8+K33qsh09HlFSaJsMTN/ILW493aVs7rBisS6XYtWl/sGb3kc+TP7TjVoJInOerFsdH
L5sBHgu/ZD3HaJJdtCz+9pDsW33GwZPGFkatOsMZy5kOb8Cxj+nQALgnvq21HyRef9XMlU6RJw8y
kTtz8tYmlIjKia9afrZi7RymLiJm9oKcdHGKhigZdqCBNFDdPJxkeJYCoD2gBR0REESVH4fPoz2c
2a4diw5UG8xor+2bR+bgc+fQp8f1bTKaZ1ht3gK9aZxXOAtrxkNarf1Cdjs2UngtqhF/9nx2Sm5T
IsdskMTXOanPc4IDzpr2JqGlcmy3U32PKnYrtjhbOcDS7JLJfW4053Hp20tx3PotHhxzCJ21k8iV
lnQOkB0q7lYTvJZ25eF63SasX9hwTBwqcB/8OUETl8FfUtCHxE33wPyCE3vQ5iu37HStDS7Ddn11
BoI0s2BNlQ7DqzmyhoOIZixSewjJJyXdBzhMJc1u7vDgZuaOfrEV79W5u8bg5tvgp8k05GGab4ty
S9xrk6ac9QnZrJ7Wt0ju5rT/pg72rE32TaddRRrz1hzVdoGdSet7lgdvLq6Ogq3Ocqa9aTlDiHYy
3QH8abvWq2jvYeGEfy7MBYTUEbrA00MuglVJitGkR5oBTT9+QRs6U4b1MbdUH8z9Rx7/F3tnsmQn
snXpVyn756SBA+4wqMmB00YvRYRCmmBq6Runh6evD937W0mhvFJlzcqsJteuZabEOQdw3773Wt+y
roYllztiQIkFAhvWY9np6ZlZc3tQ5Vkzj8DJ8Tg5hXjnTVYcCHVtVEWQ5s1diWsDFaJdPjFGeO+t
reA1+8ysNMzM/tPaDoepM+pPrUNSj3oecXsdyX7a4azddZHn7bvFOdiQfhj51C+JgUKkS817omcZ
IK73vnUuB8ScZsZLVodGnQS9yalPlSfcc6yC6cdUth9F5HDDu7vVEzein0+axdyy6jXspaMDFV/H
voH+ZwIsr8w9wRoBY4wXSHDcr/w6nrT1YBT89cszQp/OCGaAkLdri2LR1Ig0oI26LTM7HwYUCE/e
VNjKzBpPi/3SoTy6atf5LCf3ZlbtNxJXrnMLx8msBeCGNHAXRsvbXprjsfDurPadU5Y79sdnfGiX
uEY3RmPjoY/uwZC9m7P8rH2yY1AqzAw4LQTHqK+vtNkwJKbRHxNuxAgEVNJjNjBCE/MYlGt2AAiU
YkpONOnVE5Y/8x0u/M8t0wT4Xae27W4H+j6MGg9L3Z9hqvJE2+6BeeqXWKLEcN30hpSJy9Tk99JO
pKbL1ofTYj26UvNuIgY+271TMxZmXGRHZ1uxH+AXWAnjqPzkNuO7SaIhcv84APW8h5sVAFiBXgVL
6ksdIVEkBBGfWo3PD7p1P3/k7LUrRr7g8rbI4oPO3UDnH+zM4yrV+yYWu9FfUJbS2F0+2PSc0pXk
m3V8SLtsnzlgR/P3Lu0VXCU7uNa32quCMbkuerYCWQWmd0LW8WWQ8UmwwOejdV3UFLRlzG8C58qF
xCa8QHX2wU2rg1sSmtHIXWZwphvcfW9EAfgH3GmSfbl+lgjPs/T92rxLsm6BeJyWdynpXyoRiEic
Q7wsYL2Ri8AJZLWob1E1KCQukJq4ZfLiJciYHTREp1TocyZMxNV80eUKOeRLq923kzAhcTXsx0l2
oio5ta5FRUpHWBrMFpd9zIHA6RbmQ+Ohib+Mguj5BSk91aNZdMG2uc5kDcD5Cea1xsg0okiVPJ4M
XhZzfbIstV/t2Dl4LdNvu31Is0WGI00DvTZMWBoXIYC2b4jffB71V8OJj0t9RwO0xEzlo39B6YcQ
2zkUzScP5aJMrtX4ca73i++F4L54vACoSRp8XyN3POflXdckF7evrzqTLDl0ncduRFa56D2qoh09
uYhFX+x7x3lb+BRbfXzmqH20YAl/JceOdYemiKZ5WLsZ/OO1cHdxHTO+4ISRc55BA01ESVe82GiK
baO6Txl6QQ3on9NJ67NregwH4QPzEXYJbvqwsjAaqt5+W5WYsLhirk+TguBHaFCi+XyAlj6qDoKh
j4wq2Ix5/qS+dFDvFsN8dBlh+SvgepBCPbs48SZC4ZsaKg5Oq+o+pSQSzcL+AhJoeqiQ89rY65bI
OSwkITjqq+MtH3R7sRdq8pzB1niVeYT3gFtPl8F9qPBSm+jvDPG1VFQwtUHEPC2RiFII1uWepiQv
OW8Qfs2TcFaMnXpPCsF+q3eEBAwgV3yRgk5O9pjO3CgYmsn8aSqg12Xk6iTtES3osSsQm7RfY7Pa
u6DtZfQ5Sqa73p4OMaJ20CtBNhQoNKurWBWb2ZAYlQpU75tOIQR8w2dFTwojpUzcZ8mmw1n1QTAB
EoOFfqu6oQdNXps6OZuPZfxmw5IcxfKI0uQG3cK1x2KJrH04QvBg2NDeW1h5sjIDFmujcE8Qc+Ed
eljwxVqDsdMEXodua+ViB12XdjFIp8U3MBhGxlt7dXeNcq+ZAX2Yl7E8xZkiZaCJzmSYoWZYjTtM
XJQ+5k5Z2Uuh3jD/DAtyg6wcXp1B69B0i/ajjfdGYxYASxeU+cXK2vuItjhDInBBu4Lu/gUsbOjF
pJgAiyYUcDNnwy/O2m8ro0eD6Qos1dJdICnn5m1E+VN14ZRS12MO6XR2E68GHURg9drpjmPCQTMV
ihSYYfqQ4Kd5FFV7WikVt9iO2PyY5xnLgF2Y+1bgQDYYVO/s6pGRe1By/oAt5zPIRp6fpOOlQOvF
uNdHNMw72KfpCb1sd/Jd8mlaF8HmkkV6Lw1eYI9DKq1CKyQAsjhY275h+ssXBRMLe07UXqxp7a+E
QlMKtNP4apC9tE8tgz6u/qy7CEkRTVqOa+iK7IQRbrKEmgFJZkfOjna8twRYaPerp+drMoX3OAOr
4zgcmBijYsNw6a7m2Rn8MO+8m8Fp31XkVzBC2C2wbnerxghuAE7GoPmRqLYjinHiChFU7Nu1wKgf
uMha92SB5ffazrD0CKr1aafUqWgIpm/lcfGue3g6OyWxl1GnOoRonNPmoemOA9zI/YgTw6/Pchm+
rbhVuHeAYTzGZLvMSSlgRIthkXG4nJ8TsuO6oC+87n2q9bhFZ0T9t4gwFHFasFbTaPfNNjr4hMsT
4pavA/PnqMFpZMy0EkE2+/yhBTsf9bS1OHd0AzlLFQIpVwjyk6FpUtT+rTlgBmexIPB2gAOcnktq
1pcIWEZ8it0ZZQK+RJS0vdbNHXJpwJMbW/86qjS7T8/bmuIMtRoDIfii7qFfcS4Q8N6RaOjSf5lW
ThbHFvbciKjB66FDOxgWUP+azI1suB9i30lRZ4FOPHFf0UHj4xgqN/ma+fDle1vuH/Uv/8+YZHfN
1+pt33792t98bP4fAJMpbP7/uUG5Jw3vVX9y+wP/ak8K7y9hmYRnmtK1TSUtGB7/ak8K6y+lyM31
+de+C3MGbMF/g8n8v5BI0C30lOUJ/gwN0n+3J131F2pUGpqegMRKX1H9o/bka46JqdBNbNenp0XW
rv8KjbBSQdESzKywYpZ6BSDqpYmhzhrW6l736+JfyASsrnxQIUfPKtAd0vPPeSsLzcBnVX7oIk29
0GPLnn74CSmJF7aZ/1EN5T1YmL77n//1GurCB/McGFou2bFyA5j93NVX4LKyibSNUM+NvkKezCFS
dBMfNG+jABRx8Yc5wq+/hA0TkloW4KkLb+lVm9YxpzbF5CRC1URs163XXlrb6J9//7VeoyhsOC4K
mIvneoqxhcON/XFYQfhAGXsNmsIUPen1HK12j7IxNTlZ2+KpEiImG0uL+2aZkj+xU+xXjWickEJt
fBy62ts3ffUNI8/WjJ/IlrJXmX+Iy7q4dFWDOt1xaV+1hV0dy15OB5/Z+c7oPM7+azKAUndMif2W
uN7errw/AIpeheDiV+NTEVXu2mCDLOmI7VP/ML5RjRP7NpUQGkfbODA9Q/Vp1eBeGY/hkPXX5E02
T3epHrqrZlFABxYrARo8mu+IQeEBtHw0T2WUhK2t/jmv6vvHk+BmfN4U6/vc4ceP561qS/qoonCO
YTNwDLJDM3MQ19cDnZcltzj3GazHkikwDKusJ3XOTY7RLImORNv7B1jX69eCj+OCsfOtLd+d4/Sr
X0uucl4S+OV7N/N4EbOkxBvTJt5eNabxkrj+8k9pQNsVFUc4awMRSZ6Fn++PoPOWpYmmq6zrAtLa
QAWb1635tm1JtUsglQdxNU3foMdiD806kooal/aJsJqLESXGE1279Q/v6msuEp+JR1lIUI+sDDZw
xp+eGTInaBDSdd5HRBY/tD0UhdZEmufEyBaqlORJ1Zb+H3761wsEFigkZluGteD9YcH8+aJiaOzB
j9KM9lMUM1XpxiMw5/oPv/ffXAW5JHHQtJThEPwCxpUGCbH4evdz3vGDyp7ebjHY5Zvfr0O//IK0
1FlhFeA3H3Wou/37H966KmWZoBCVYS6X4qYWkAEqGRUD568+Oq5DKo+ZUcr7319VbrixH2dhvEGs
5yZfzbFsYCzb4/3DZXun8l14Z8B3YGhEDJtdA68lCtpDvejkgOWiw1RhFy5ZPUa74GCvanrfDMRQ
BHqe0dLOYW8cdxbQ1rc5edGc7exJBZjxMzfoNl36jq5U86YFBaWZcq/zmyxz42seJRuScWY9aGZQ
uIV7pD7YMqPuOl5teBTZ4JIm25Sw2ROPPO7jwJc50qMS9S0/I06bcUzmfV8RSKANoA+7dqaywnLS
0ZmXOHCe6WTKWxOpWXUYE1FfeE4y8oaUP3XwwhPSLvMUfxepDYr0BXQkJOdYmoZihXp1PBdilGQR
oYI4gcMuvKNtEY+BUXwsPvSuu5ke7aV4nmHUR4GXG8YYMjBEsBeZPWRCmynhJ0NkLSj3klMI7PRz
1/jRW0Jy9HPhZCpIy5bDy+/v6d89SSxHTFd5O9BTbTveD7e06DLsd4AFQyXw5tQpMAcO6DCv9FBy
TivG26TgyP/7i24v+C/PEUwrprr8XZ79ahlkWB8Pdty4Ia1iuV9hKOx11TShMOge/P5Sf/P9qAm+
z4+B9oltiPzj9+s6sjNBpXEp3oora2nNQwSdMACb4Vx4zpcDUcFF8M8vShQWwkvWeumZr3/UOB6j
ec1laKHdv8mX+S5ighXCdG9DU1GfyL41//lvKmHUUghSCVr+a5Rn7TCijBeHL5qmzsHnhkNHwJxr
61idfv/1ftnFLFZvmxJEkn4G7ebV6tNl5GXQsiH5WJLCy67Vns0qTcl89NcbhKjzH663Fdmvnxfs
euBfuR51tfvqeUF5rkliJtKxlADR/NLzv0GCLj6lyZo+DnkpXtAyDtPRrFtrDctWr5vycG6OWLts
ReK6Vx/llNPY4/0ymXnSmScBslvOHbmu/R9eqb95uj3WRqQsQPjYe7c94odXKoKYQaxwrcJKV/71
MNCPpfNhkvnSzf8Xl6Ie9TZuI6uy/erpHsex83XFcMVKymo3eUZ6BpzkBQWr8h9uwt/dA+Vub+zG
X7edVxX9kgiSQ0b4Gt3qRtfDiv6A0RoTTa9DRzD1RXZlO4So//5R+5vfkpgnjuu+iduP//n5t6x9
P50Tg1TkQeXVPicXOGgFMsYhnsXx95f69anmBGErB9KLb9me94q1mcyrokc8yhATBoR0J+oxTeIG
d7LCDHHHFTe/v9720X9eBG2TOtCxpeWynZqvHuoosfMSkw1aZaldJP1Lf+2zw/7hCfm7bwXYE13N
trpL4f38AxKHbkA7AI+TysUHQZYOR7tMhltYoPArcu394Xr8lb9+L1YGyfLH/RJUuz9fEbyXzzms
YuiAjckOiT+oenj8zugfrH72K1K+yTQMuyVpLt2sV0wFUy9pp3ZkUECsa7I3CpJNizRDmsDepQS1
no5ZRbMXKUow4bPAzD9TRgB9i055nI3PVO2IcYinLD4DdlmOCXrrb12Z1nfx0BeC4evAzl3YyTQg
Y2Zv3XWeS8iyynV6O9Nz+zCDLzNDQzmceZuW2Rd6geK9zuZZ7hwzHja+WTt8TWpy2SADxVtvxxbT
p6im/Apwnys0z8xIrzaN4GenbeY54NaXTx00t6ecu/0NNG90G6HZR/43knACV7+HhZRq+CABFizE
sAQ+bTxIc64/uQhxoouv8BfzI0bLvWuk6LcJvCuiQ5enCz3sMmlv4Tht3AxjoGvZ52vB4a9P1ZU9
5DXcJqI8v4peK877sSw/4rzX5X6GqfrIYWFEurAsMTxmBojXQ2Hj8PBRzxHz1BIg3jWeUzM5XHM0
mlPVv0tGVTWHfrU5x821KItDnmrGzhax4zkQKOVSOs02bnM+FAvS3Bbl53XpjDdN7mf4YDW6vd2E
iaEFLMdYk4DCmH9CSeh+xuqTfJNinPheeRrDo0mn+A2uOKiHQk/NXUscwjOlW4/jJErdlbwprBso
CrRYIdgYZAJOuYHuMiXveg5ixyJMMVu73tiN/bzF0diVqfCKzyQ5D9LrMX9v6eAJuu+RNt9SXXoB
mgvrpOe/8aEY+Uc9y+nKtLYhfmk5KJIaptb8rGlH5hf5LtEVd3C2AqpPaH0LvBo6prGBKph7y3+o
GovYlCyyh9vBqxmB0SFXjxkOWkaAde5tqellfTbcKvkiauHnxwyv3XntsQvt80xXZ6hLlQ5G24wf
RrmKRy5EztvctfXzBD7sDc91SiJY0oxfdQ3B65jXG4xLlGxyO9eL9J0kkKT4Q7Xx60mAAgKbs+fR
PfAQ6f38khP/YRWWZW3kRsw2uiL/hS1Y3AySXBXKjg3sNE0hBFQs4oVz/v3S+QvjllIOxaDnwcfH
GUvh+vPlK2FpJCY1ok4kutXO2hiabYHT0lushrANWHOD04BdlQY5FV0LSMSp1Z3ghoeeO0zXjQWb
+vcf6tetitdZcqylSqES+4WhbJQeyb6WhF7B6cJxrPyeRrvPUMovHn5/qV84unx/yq7ty/sAQkAZ
//z9fQyZg8PELKT9OJ3neoQJldXVNfRz52qRc/cxcTF0jtnoAIpIDYgcRPIsnkIjK6MkUMADr0aI
VYfff7BfiwTHpRm6HX+hPEnElz+VPinomM7KKhWamPSuzWHC22mTdXeoPRziUS6rZ6Mfpz88jJvg
9NVW6rDfcFHWLIFg9NUmt4KgJIAYe3MZjfFtk7Lg0wZsztXAeFpGkkmCzd4ijVzdq7RXkF0GoKCR
mXYfjGYtX37/K8Apff2BaBgrb9Og2hY94Nfnc6udZ8MebXLg13G4OAnUvkMuORbCXYkaRjszCr9j
q4bhNo4zjiMCsgbmVyqqS8wz/GVc6JkGqEvUec4tk2e6SHJeKmg2JrNF6ssATVPbnDkys9ZVxA9e
4sbzNwyLZgDaxLb7nCN2PAlM84L9F2QNdiOrPYksiUl0jEgJh75hsY1GgkUymBZXvkO+WcnAXBar
I/RA2BEv05Ci6hEJvFFBGuEO1i9MWdpm8nNTzSwyfamn+WzLgqGFctvpyfPa2iYDq18q+KcTiVbc
hxeghkUf2FNcd/j2S2Shyk278rOOa4L8StxA3qVYZtJymVh7VjcHaiaqGiVKqlB84oB+kitDMMBy
tkacaGrip3ppxQcnY44eEtHZPnaKVsJ+EHNpnSZPGKhNXPOmrFtZ3Y+sKZgrZmUzD03M4lnjtQyS
2fG+kxhpeCVN11WhxpNAjkxKAF4wL0vpbnaX/n6ue/dLVnuVcWRfLMqv5biY/WO60iR9WlGhi5OG
KYiQcUHowbi9Ufh+0qg7r1Okb3FqoczSKvMxg9oRWpSlmGvnnE0YFI5L0ufpQbljaz3AzhnwXDq2
DocW1M4OuEqLZGVoiPqpiy65S0fty13TZ9MjLGjXo3/BwIG7GUsdLkMLlq4GNKRDtAumOLS22X1O
ogjyFbTZz4qHiJEe+jR8ISuJbb5fLWJXO7gEXFDMVGiJ2b3nPDnQvMpaMCJJnero7JGB2+9kN430
6sqcTgHJcsxLiY109qTH948d0Sg8pfNSHPul9ro98GqoTnpCrg8ocj40uKvIUsInDZ+qw9+MoGMe
zMNa8ZgiMswhXybOSGrVAokMt0qGprAFZYGCQPTdM1VDh+EZoc3meE/LJVx5+6xDW6TlE7hHo0ST
NLmUd8bYfJ0Wv04Q5zYDCUxE+W0KFLIndoQAFe1RF4l7na0t8BAzjT1x7VfbddRidKdqdoAWuPWC
FNlxOnB4WE5RnazTOIQ8hHNzPXeR+ZRYFQ8gHXLjk5wypcjuI1k1bFfUSKfaIaeEQeFE1DrWs30a
+bMZAga0sWgs8j3GnwWP6hBJB6ILwwSSl1rKwn5OU3M7tRKXuywmqhZS6OYPk0EjMbSBnL0geyOU
MvZ50nZA6Oujbuetsom9F6M2EPoNXe5j6PdRwVKsdubT0PVxFxBOiROcQL6vruqMhxjgO036Ih0/
WTJpUfiqwnyP/Nl4hIaOiJaq0ngokSCgCaRNQ765JgIXiWHxHjynfBmFPzy6VpZ/m0Y53rSglQWz
B2ANkBC79Qkgb4z1WyljN5gDqjoCtTGRkikr4h3v2UCuMr6bYl+A5Kd+bmaNtgORPChrrG2bpGJB
VDupufB326BpL1Av5Exztwhzeyisu4KiGvcNeZklMvjU/jCWSa6CIgds5gFU4bWA4SbOaArGTbpS
ke0nvNT7jLwwnvZTDoTtChiXg/mHk+V9NOvpZS4rNHcC4N1TPsTupdPaskOghlv6VrLGkB4itC9W
rjBngV33irCZOoHvNi+VZi6z2O6JjaVNgqmeRHWOi9mEez0obezzsUxvcZNrDLc9J8AAhCF+ohaP
GaNyS0YPDVLzZytJmFinvpOueyHG7ottGKxnXpwZdyOrZExLvxpGtHfDMAToTTKmUHNuPk894gAC
7XBhHQncJZ89FU7ybEYCm5K/tpUf1HMDhCmF7YJekeQ7wCR1nt8pp69kCIhpXnCB+vE3BLUozidi
At5xp1vNXMAukWQkE2W2GxdggpLRShHeeZb/MnBG2DUaEcA+8zJaA0WZyWTv54N8GqOKPSse6uJL
agFoot+p8ne9GesHbTJoCK0B9qheMCoHTbSidO0GZ44CVEgJnmanN9o9tseSSZdXz59ixuLjDslD
9RJZev3UYugfTwnQXzzuo51XITdzuIZGWDNjglwAOKI2FrWPmDNM8MTIGu236myoB+ulhE3Ynkj+
lXFoinIEqRelgLzwF0A3nkGV/Dtw4/8P2//L2lrI/3nafu4/FsuPXqDv//2/vUDeXzhsfIdhO8Ns
6W6thX8N2+VfNEmw+iiHRhBslK1D+N9eIPXXNn9n4EwXm1iabWjx72G7jReIyZ+JvUxu4UbkjX3P
YPvfmVMEp/3HDKrXtS0d8q33aDp8PqbAzqszR+2WGicg22yS9tNVBhFK+hMywF7YJzzRYPZdDKk/
/Db3v47RaRq/LiWFIHiY9o0rCKawxOvaVrDRto7Vmzt2IFbUZiK/91wahHmHfpRR8NEDzOR1Te+j
gXDqccyh3rBQtjhOpUnEBPJ+sSNQfxBsWg/+aKeYl4wkFa9nh/PZvuG3/WLFwuKxx79ZBHWb+PUh
K1Amv/eKGnASIXu6uZhdWtaha2dNtVcazSCReuAzmhzv5i5rRPMujoflCxExzErWzkzDODcBN0Sw
5V7GPEvGw8RqBjbYx4Z5T9XWvCW5Io9C1ulVXnBggeOk7RLZVOi+8+IawxofDU8iZsryeQL7TYSn
svcd/W2q3iwFRsoKRSYNNbpBLoC/kGYdzPmSLiH5HPRBNuZTS2AnLvgcEVEL/aWPyrl80/lpJMI6
Hv1jaQ3DA7MY607EMeBfnGrme3hQd4aeky4EtjLdNGlXHZJWjpI+wqReStSFcAvqzqnvo0nV5aGA
Mmm87Wx7sff9xOYER4vyi50sm7OjRfDr+8mq5LuZ9W5fiZZd323K5r3XeO2dCVHz09A5KIsZ7XnM
0yks7T2He78JLFK6yk/EFJfkiWiXL00nC2mZZ9B/C3rAZdbJzA3+OUYlPxyMEuEoaMxc7dYlnmJ4
CvbbMcoV0uKqsEHKo8Lbx43T79cBzSlAZqD8w326LOP4lgRPrkk6jn6/8aYDqRcKeeIPcGfEs1op
avv6Nu+o+i4eEv9H5dSYnGByoknH3p59NkkI9yhbNfHwuVEIeaQpRBosADCHbWEpUYEc11EUawJI
frWjuzYzxumLZ7ezZV98X0OKx5Gzms1lMcm1O/QOY7pg0GQS3Jdm3cD3zPi/ueFw70dHO92h59iX
YrpVaV2jN3AXnR3aKKryvaH8qL0HFWNv6rShz4/RgloLzi1RM9mx722eL8stze5hBjfA6agGgj9M
4SSEPd2beqiyp7IRSXHt8tjzFMp8+693tdkNtond5fs/9KAqjifmexk4GtPnbyaYW6k8bHNPkv8A
2t1b1501IcPluOLjsz0TLKfkBwdgICf4uJTdoVEyMd61KMjAGSUjT7Odrs179MDS3ht6QiOxTAPf
muQv/mXcgE2rGub4u2HsdPd+cWeayLjX6MgomyENIR39vB+W2K8C6MT8eYOUE/OIlsTKn4jK5VUx
mxkNH4KzglAv3FT5PdrppnzsU+a3+xY2LI90h4V3n9GRT0MIod1jCu8jPesly5AaLowXPwvpMyDA
LtlBSVe6+opuP/1WoIl80wuohO+TygMANtQW4n3LuuS5RdJHvHrPdubk/mEieP0x1qm6ZVc2b/RS
nJK4RGoKsMEEN55Q5YRiXBzY9+qYduqcjaL/MKilPVrbKT92n2y8fSdKk2u3/97VA3/QjwPqu7gu
7jVQmoDMbGC9ElDllZ1b0fO4ekO7zyEpqwcpqsfKLr+RjjJth6jZPZpFb52HdQTEB9KAXx9YXsJi
TNHpO9PbytrE06mov4gSVOcG8HqgzXTCL49RI3bfjRn93qoitXxYrWdGUV9L7vONIsMhTBzrBMyv
Oy6bNlZVw6eqL+9QIXl70U9QPNDSctjJdlOnltDfbozPcaCnsXRpsQtpY37iTHZsejM5dAliDg+3
zM3YRT2Pw3jcUH/Ggtjf7yw6IQOzcIw0zgv4SnSrwAtvQRc+A3CGXLES6xKLfg+4DutnljYvVmzZ
iOefK2e58oRNX8CKLwOSRWkmUAeQX7cydwiy1oeija5X4XnbYQnX07BeccwnesNds92Ave9AlxSM
st1f2WRqAPrO3rCDTWFb88rGDsbRhmU0W70DS5X7blXLIxBvarmyMk9JB7WdJkV7dkw83T1y2bRe
r6No/NAg6Q/aCok8+l3CHEiKoCqfUJj7AEKZMh/RQuyIcQptePIxInD6R2dS1dGZCJukxXJ5H+Vt
nwRRwl1KJhPKhFkd6A9eE9n8aPvZgZ0f0LaPhHid237ZRfC4N4vm1reZkFgdzNH2qGJ9BLh2r2+c
WF5i4Bu3A9A+sxmR2ZQ8TJE/vBtH9QCRltNQl173vnsaPWhBeNVvEQWwcM8+CF4nO8YNOQB2LhZI
KQWN/6QMiQrbS+nY8cU3cg64bsdGZeTg0RjwfMpGQiR3qIYzJgSjBLNnsj7i91qnB9+bN4yxt+7d
qXiwWtIEwngbPNCh7uEYekv1cepXliajUYgAmnkkXYgpH91zPWrI7MV0HK3KPU2VzJ4WM5pKPipH
BnqLoCR2joxffNxBvBprhybaGtImTMSQX9pobh6rXlkffV3GH3yjaWQgFbm+e7A/16wcy13bgUmq
C9d7UV5lXZw1rz4mUddah5KxQjiUnBn3S8NvNrdxGCsO1rHMARG0md1ke+R23mPXDPhDk2xKGppo
DljGya/3EfvFTRITTsSjvlLaA1N5Pye9dWrNRH1opOBAU5PthSwMHIyBj+yAQAv0luV/NF1d7L3Y
oBWk07rIUYfFtfwEZqq3GNTxx3beEMfYBSgWkLF7Y3OkwzMwCqVtgqo8udNWPH/zNdQJv65zhlaL
kRLq3qywGiKEQRo6Cwhky6WlkUdapAQm23Kka41EYSfMAoUWt9F7Z2ZFf1umMUDfSiSmd6g4tD3E
uHWm0DArvrQA/B/GWUc+ybrZhKKmVcdhrOxdN7bJXWlAosZGrT758FxOsI3MiwcBJICbYe/bru+J
wkyyImCgTzAFPAwOb2mBo8KUpK7wpD6oxu2YbQx0KSREaX1jCT8NCkZCelfnXYMbK9dvSWnFA8E/
nQNUONbZTGea9BZ9HcYi8fiZXulytLvMetGNZZN6T/TeGlTOjEWqgoFxiqFXvXSDHPd5OfQC0qSB
TRBqiPmsJuYxvkvDqdT9KXLgf5gEyWwWRdacuovcgBO9c2NlWl1ixgNvvVm9SwuC7LtutOjyjB2x
dk11iz8UqEgljx3rIigXkQvkh4aFFyISe7ZYbN4RnKlVz3A6Kdof0sJJTw4L6KmHQ81QBjEdUVgu
y2GK1YHt8IqjfXusBtun2CnGc98OpJqmuXwYqbUfhnaghRVreUUr/hs4quLcQACfd0wLIvCYQ1vv
YcrXxF3XsXWT0bu9yG5YbxORFphpQcWZWI1K+qVe18Em7cbq7PljdbvO/mGo2+ioINLlQUJrm1fb
7nP1hkMzFVYss+hoGWu/wciMTwB8E+LCOoiprt8UZwVYJTqpEePC3BQelEai39YWAWSnwKLOzZR8
ZU8FtOf1/XRU09xeloRDhSdx6trT5OAZcidsS8TC79iE3GNiNjQUvaQdTitDuONorIMXNF3ahr0N
Byfv0vkSFblxyMTa07ezUcATwbTA7TRJAIyz/gBEzn7vc9Cpvzp1JM1A9BKSMzOwnhAbf3pumK47
hwa7Wrsr6F2Ou0VF/Vtv1N6N3SqixYZifMOJktyLlYnccUtoCxJvjsFuFwOL9eKsuMcKs5sfJ9NC
ROsNHiPI0uSRpu8oPsTM1IOOxgx898W3seiD4D8MxtZ8wn8Oob+KvWFHEp8XjrrMA22Py6dmgrZw
8PNkTIJWivlOToZnXwCSpO1J9i6ZUsT91OoKJcVD0a+JSxKUX7fHFj/uJbHs8hGRnBMkRdldhtye
L0TCEeNUe9hwVPa50T2t3bW3xmu39g0DzluiH4x5mS4ZlMmdD+VhL9K+2uVmHhvQwycLqh7d1sAe
WdRrA4XuTqRLRuIBAxNc85Q78V3C7WeE2uA7XMDUcbgBeYwNQZfpEc0bKFuezJOt3I/dWC9vUtkX
+QG7xSYu6LBrOX1T3Ez0ec49K/X1kAxJMIzpcyST9IpV3bryytW9HdPW2oFjBr/nkTswDm5047CK
37lTRWahlxrUAHH65E66CpQmF48ubHIzcsQOu8x2PnsDbj9Xmt018+XxwYiIa6lq7wlXjj6bi51f
uy6xRi1BJYe1mdM9XSY08SDAT5EQbXxgDWrweQy62JWmbHaNJ6abvEejmCy+We9r8Egu2g/aqKRf
VY6e36zjLI9A6ig0IEMlbQgnvhuuXA6U+2TRY4gmi1EIRhT3OAs9IogabSZgSWQctm4HpCfZ5wGv
jHHS5VQf7LYiqwKlbMNFUyrExodBRUuzxrzVeU4QVZy7s5i3dnB7wSa+dtup0soJpOIL570V06uU
8lAieL0pdKWe4+h/UXcmy3Fj2Zb9lfqARBj6ZvIG3tOddPaiqAmMlCj0wAXuRfv1b4F8mUW6IsnK
SVnVRBYhkQ44mtucs/fa4/Q7DTSvWSjojZeF3lyygZTk3nC2uLM7e6l3M60vgzG6HJTWkg+aslbU
XFXpB98vUyYc3+Zu0aRqkma6UU3qwP9kZb/New0XqlfRSMKESDaJDgxyWERQya0FTZV43+Y9IKLG
G6hY1mip+zBPftUVJsmCduxmjBObQMMCqtIG4oXVLUkbmB9ItpmH3uupEgu2lueaou01SnyItQs3
gDwudQmLwX7GHOTcjv0IZ4lOQ7bQW0muV9La41ofU9NcRGwwkkXc+F20htOP35cokwcryupHJ48Q
pTe2dWPQzlk7eP/OUNjCLQXXywMp8+KupXsZLF2K/3Dssyr47TAU3dHqeymigVm3i1gEI4TqAPub
TUCNkhLCA3x7sCxmKnD26spboX+QrNhRRMGLjgf2pyAvDvFkZmeySbqN1sR1schyOgJ1reOrSlJc
ThE2lc3cdkBligPJVFQeyQ4FCeG08oHJrTiDSWEd22lQu0arq5kWFoARGfoyvw3SKLvIrTy5K9wx
O9oATBedUBNX36e63Vf7EPbehvirwViHbtZKNkANC4VGz9JfuczlpsvbxPoJRDt7ygs4FDQdvOdE
jcNeEKi2TcuyOtNRNztrL2hSnOIZGhTm4qi/Vk3oQUeLvWI4azvDuQWLZnY7zCnlg+q46Uvke9Z5
n+nEzbKbJg+QARDw1ljriNJzFRBRhbh2a9ZI1ZcjvbDr1GRPRKCC6f7IjSgnnmEo4BqaE7L8dDGm
Kt95JqHzm1xJ77kXfl+fZxBTZzHxNFggfuPyKS/H+glJ73Q/6C3QgaEi0JPXiHUpVy/WmoveLhHA
dDj/7UOWjf2mwPv5ELuCxQ9zqD7tGlacv1mczThoXMXVQku05MKEx9yuLIdXbLAK45HqFIBmRSrC
wUus8KGm78X8rc/JILL61QOtjpcCjKnDkzXKpwzm0b6PS7bj4Wt9y8k7/rsgbuwn80IXn/UaBHjC
FjuxYrRs7hMSealgxRaG4pqSy26C6NosFQSUveZP9To29P4OvZe3BhffsH4MjPihFX6+TwEYGssm
dKInJSoKC44WQqxbhJ1GrWHo6cyezaiwh8414TzGk0F1TVMelYFsjLGcGJ7E0kGeWh7j6/P5s2ZQ
p0wRIzhYqsJIfgykqmXLpq2oRMQBzbaFX8TmsATXTGcVUSSO3KqPm5/8Not+0jPJOsly8QiVC7yD
FGHP1iHNRLZm78aHCMJSRvIka73D2uzZrOxHSfKrLOx72sPTkpmJH+OdtHh4gw5+cWQVeF/e/j59
rTs5c+3ETCAM+n4EvLCMCDNLXTOHZeboRU5IRsNsjUigaOcuO3WHaZdLc8gAPkWwGC+LKOVimEY6
6aSGTe5UHHLsg9goMPlQdrLA500QGapMW1QDtNUrF3thuhyDQTyWtsO1EhYgqGXvYxxcGrhwC2By
zDP3lllCfGP7a+X3jTFy++lD+GqnYghTay3NR05w6Gsru5BOYIKOLz1KMG8h3G+lHOpXXCSTTnBK
XaNJ8vM41RIH6akXVuuANKx0p/caYQqu06bD9RDW4lFzLE7QdDCGMBHPtR0LW39x0BD0y00vde6B
KyK+nGsN/ExQ9XW2lk5kYON0ppqSV98EXKg2a/hKSlp8vuI+UXklerG61Aw4fbCCM6MA1V0X8jH3
EAstSCeYqnsdCvVwzXAZpVtJizK70OyGhxJkMt+0GAcbL8AIozw7Ggw9xXnXZu0DC3+pvpGgEjb3
htQnsekrr5ontChU2xanXb1sfMGnAVXlRJseiOIR6xJnhdizdc8oA9JQLSHALZnSSfVJG8mIAlQy
GA4+0EWovEAWUgDSmGaXvSbKdp24FV9xQFBrYmpt+4EFEmFrSQubsZF2ca5BeVw0zWB/SwYEBzis
013hGJus9Kbizg47IL7/0M24pNxGV4ucenLFSn0MCR+imiku7b40KtI7pPP4efPgRPppIgsm/tv2
edFx/iCN+SjGSfsI0nFi8dSaCCbKwUoQCBbQzAAReU2ysYy2UF8o380/DsrvBiaIHBRKdGXcEykO
i2mAfiyewH9p4pHqXUdaDk/DS8P2Div65OztkXbqwu800F55W2raZqTUslB9Vl/nfQGTEwCts07N
sl2Ug15sRqt2ftSA//oVKh+2xoARmOxH/Gzk1nTKv7ddrbslwizG81sbe1p9RkMQaQof8PNrOp/+
O9Eul1IPfOS0Pmpr06IX9PGaTpopDKaPERWElvBsV81ZFGf1SloOYK/e7i8gOpVkBEX13edH/vPC
YrnRLQuNEzpvWlEfj1zzqnVJiQUaPjMLyyx3z6gaxy+xI9hABHSg0i/u5anKji/LohUoozM35Az9
1DvWEKnbQqeVDBJ5eJyIlabspAX7AfQdTeAw8M8LZKuXmtOJfekDJKB+jwNIbyGAbpDA92RdxRay
i88vxYnSjvPyEWh79PzoFvqYIj9eirJuzKxmQoevaw5XPoaDKxgKM7biNeD884PNd/TjHfcNGzEX
Rluab7xPHw8WjJBqK2kgoyCnJATuj48MRFb0labx9EvhqaDPhl1gfrLQNNLGfO8aGLspTXmnMMHr
khFZp1aUrxtoWtjli4q54fOvdfogcziT58i06JDSBwjmbuc7k0IJUBBNNoMYeFk+PBkSeg9ogefh
L8wY9HME2hShmBioLE+ssVafn8CrQfrDlaXXqdPUNZFKIiJ9+/d3p5D0ZkICMqFWrO/r9iGW+aQB
kLGVSwdSiy5Zc9jdGlmvoFsQy+wxnCDRUuOpSXNtvQbNVwuZP1gA9JmOksTSkNRH4GJrUjVIT7H8
FFpIqIDaQlYI5+gSxfixJMolYY8xmdOOKJneY0McE+YYMkTni1GvTH0nIqJmV4BFGPvf2jJOp5ho
aSTMa1DbosUELaBsaAnYDcgNbZA/fOw3yaFkIWuSW+HAjNByF4pCkytdXeX9wHUO5GBU9+wtmFDp
3NAdRGHOpKs6nQ/2S50rL9uQ0BH0IvPU24f8WXUaQVjg6Um+wBJ4jfCHv63RNRBE3VteC41IM4xt
rzvzTJzGrAbMruDkq0YlW2UpbiXjWvQUiUGEGxzj/r5oJIVgW3ntOZSt4Dcp2kyVXOOENUBIm2Hf
KjcMH9AW5qxM4jj+NjVquvZwKjCZkspLJmge0pUyqb/n50kjmNBzr2MRonxtmHaxM47ti4MNfNpV
Qdxqt0NqhepsrDqmewnnm+KEsLCvV5OfFJvK8vkcK6GStDanGv+wHbCkIp0tZhWVWT4XijoNuaRD
yrUM6eZMu1BGmjpTBdRI6lCY4bdv6xGnhlC5R2FHbE9iKUqpEsylvlNGrxeHwethzaikpnzdBqOo
1/Ab5jULzkq5aWnQoFaXfe0thihJgh29vdeLMCe0ebTBYY1oFSc7scZP4dV2xDBgbhCPckpJ/zHF
EFJp7gMC8gLvwbQanppUp88xan19DJUqEaqJLKSrr/lPYTZcyLSkt+CW6XjEZ80GEmselPS3VdrQ
p6Spw3+2F8iYCrTWg/fbqDLzeowyw0a+gyN+FRblBJK/FmjwPn9ZT7QP2OYYKlhCBQy7Dt4OhBnv
R4vAzRDmGaWJQi9hTR/RU7zmOzJO+XYIGdKoZ9RUywX8/Lingy96aptpFquZZbKcOF1NkB4ACpW0
AfBNAeN7pFFaXlXsbr9wts6D6/tBHmUBBS3DwJTtoSn3TkZD6qp2p1IIbzayJPgiRvGS6lZT7+I0
cEDIlB4b13zCiXUIJ6P6rngpfn/+Vf+4xEFgz7ZoWjiAIcxTa/hELBw2EHwweu8PV9XIMp5Sk3eN
qR1RhOWMv4poRjN9ftTTVQXfGHWMz5+I1j0MxR9vLD24ODApmy5K28fARe7IxKg1t7vzsnnsoqQz
vhj3/5jn+J4z6RdTl4OgxT+R0ZCilQ5FRht4ipPgkpC6XqyiwXpBy8hQ8vm3O318TB0uASYFHbWO
a6Ag+vjtkNgJtGwQjKKArQiIc5Fp15USU/n8+YH+7uaBuoD6YaA/QSP78UBgh0q7sb0JGlaVPTtO
CFsJ1Td/EXSVWHiNP/x6E3R8flze/JMn19Tx0ZLtgiSZtaltndxAJr3SlSFBipSe8ktdJxNgtFHf
A4rMS4FcsnJ/JV42/HaSyvjloL7Pl2bqyycZW4lawwWqMZ6kjblGq+IcMjqI40qEWBa8orPuRekV
58FAdXORILX4FtCMfipI11Zz7JRP1B3VPaZaQujEMoEbuSI0t3vKk5k/lCbBsHd4+PBd9sH4ZDmd
rJdaqtXpOaMzLabarZ57FWr1djJMNOTIM/2rwfCYrkaAx8n3KvALpZaxXRO8h4DfK6wtEY9MVC0L
A20paKQVNHYK0OCKmlj7EpiKYQiM4ST2fTXZGBax92g7BDeM2rGdKthsrYZnhiByRnMyYPj78rW4
pFnsKy4K9vr+ld2NfEKUEwl2JJksvMm8yKCNO/VKL/atG6ZwEn2gv9uiLQr2vKYs+EwygUwmzmC6
iqQ1ISvxbcQqk+BIOf3Fi7prCn+TTDYDWdkj5ZToA26x0M8nF4GxzenZ/kpVOVfYkkC/lE6h+CLI
dKg5Y/haBak/bOGZAlG0SnQ9JGD8znPLwd+UdRET/+ijz5czdP1cOpjnicax1Uo0orWJhiyxAbqa
Ez4kcVl6mxGU426YIqCJsJa+OT4ri5WvuQ74h8pyDmUT2Xj649RP1mXgyy06U0YmhRpvR7vad8kE
CJkCx9RW9tIf+q45yAzDJiZYB47aPCc4VAehNtKizM7fikIgnUr5KOJ+vlWBz5pARAnrsbefpxPk
RwcsHZ5/nqjGt889SpbfB2fOMvXdQezUOAXAD3KpPWr0Z+5sZDZUj2w9nH4gi8kOpaHBcOyERqSO
Ypm7dcbAgcEX9IqIryEsILq1bXiRlhSgN02hZL1GBVIUF0lPnMcyH7BUrhwEPtoS2SEP85v8ZWpG
TrmEiSe2buFTsc5JozQpf4tYBz5odwUduPnmQnK2pqVwmyog7XEYtq9v/n8kIL2rcD4WpwAmBI0/
K8FKJ4rVf/1boNN8oH/9GDLI/znw6kk9ffifNfn2arxuX5rx5kUSmvVPxeT8k/+n//i/Xl4/5QuQ
vDFv5P69cvT4ouKXJn8qf8kP+tH5t970o95fiCWBGbn6jDwhfol/edOPgpKHYcA+luESIzlYon/p
Rx3rL6g01PChMjlYNea1zf/oRx39L8+xAnZjlm9Ajv3P9KOv5qd3iwwwTbYNq57J3WVOYrj+OEkY
dHCGMWOXLEVNohS0i3ahlI7fBX+IXHmZcmnZ2VKtJQPgNrX1tEC7Rkil06NVMfWhXSNxMGm8hsEj
YPPyoSbNuF866IEoowOBJy8KZMSdbbUNadR6tyxHb9y8u+pXbyf8Hu10slaav4bDxWDdSh0MTeqJ
EVy3iRCz/MaHmUx4nbA6BlSdYuHCihS23ryobyraGLteC7IznTXTF7t/az7AyXWc6SrUmGZNrH7q
CR9tpP5NP+L8DPP0HK9NdqF6jB1QMlVKRrDF9lBCYNiLzNd2XpuNqzjSbnM3kmdk7wEPJETOgtrO
WYKn7bL60gwGue0bDJ/Cl82ZhXvPXleyRFNSCu1+DkDHO+EGj2krJ/vCbgzkG9CMpo3D9LV/u9TF
1H3xVf8AH3CtZ3oWsAXHtmx2yh8fGZz9eodFOWRfkokbIlODoxx0dijTJAJ3E1fTcOx9Ctroznyf
zF5B0iSwkhC1oR/EDxSq8yevCWmR64MV4HnLoj6nEOu0c7Y0BJnyiwUlW/g/bo87E47cGXDEe3i6
6OotmxajQnmiaLAe6SS80P6aiLC3bCJ5su5QkIe1V8Fwaw72tPOKHm1+pJznseiKy84aSlDdcGNW
gGXqbdh4uTgmxP0d7Mzo71k1+j8jHCbgR9H3jmwOi5oseCJp8zTo96jz2o3llvoVRrBNGpb2lttY
bzTYWCQvSms7JFn9nA2quYCi0Txgcht/V1agkR9f5HsvCdpNCJ7/KLR57Gf/uPY6At6NJoNgNUjv
Er2Uv2ZCLm/xawVAdKd7FJ7TN6JhywciAvA4ejnxgchNF26U14ckksEsRhqv6EnlpBokFaqvrBj2
MILdoxiFvKimsrxs6H/RpumsB6sxw3PHmAaEbNmN102STWPSZ6vKK8Qma/L+FtHELDTVwrN6oN9N
mhRaO68b+wvsNgBzbHVGjifu9lTiFwlISHCmZWDj8G71R1PMiMLUB36RDhq271JD+mfngX5tJGOP
dbvsUO1ikVkVgw8lE8/giiRoirmzpap3mYGIXMZh7mfiwR+1YIMBSF3VnqRQobf7OqtxZQ1F9cWS
3jgdftieWR4dc/ByeEps92T4EWQKDxXd26XE3dOgvSCLARV2V29NIZrf7UD5ZlSGttLojFzibmku
Rtd7UJqpFShxO2q3Q625xgoiQboiBbrMaXAku25++02vkKsx8Izzz8dM41TFz1mzhbYdwyVFgwLu
yTK99DvLo3MeLwuh6St6Hz6lHbjJJroSMvOme69IuheDbsE2R3W51qNRAvZNwsfPT+Rko6LP52E7
VEoMsFHQ8ubtxLuaG4y2Cu4fwIJu6Oo7mrnRKvVqwt7bkeTfpmYpRYH7q3v251GZLKAl2khyoCGa
J3s+3XAjU2t7jQKNGXdrVM31d9trop90hYFRu3BcIZCnU3kPqpkwXd0pEIxB4w4fuxq1r4Ly/QhB
Tp7jbML4CIzu4Nb4DyiafQUno5pxMoCh52JFMEe9UGmmncEq4v01anp0iImGmTVBXrV0WnzjWvsc
j8Ky5vitcAvjf2U0SJ7p4LC0VJ17ABgVVbSJ0GRCBjDIOjGfhI01wEF/dkTI6a1dYiW2Ghmqq94O
m+fS0nYJ6Ll916lmmTvlA2YrfWnTv1iyOA5vKRYUZy7J1Fsvt+8piEJPnObsTHtO0Qwj4d9CTAhW
1ZyxKUk5JduPYt6R1b/RY7FgVWog0d8GlKmGeI7ptAvKWSPG26nu2gdpWgTNkb1y5Ri0rps2xGoa
heR9TnPyZxJ4476COgORIAXGEUThJouyZloi/HQ2lLHcWzlW+g6KV7jFAsI+A+z7OsDJAFg3th+p
tTro+/M5uDg13O8038klrauZz4pN45zOj020hSv3TW82V45Ty2uiJkg2jRIES3PaqS7MGS1od9Me
aAkgulSY3gr+7bDyBpjYmG6vK5n2W2Fa4rtLeM0yCiPn6Mg2udJSy9xHIbm7qJmssyHNwzVWeVqq
lUkjnZTEPQjpad9gY9sWVhBdFqKD2eDq0Zwi2lc6QDHPqch0tOxnWbsGgFuX2Jo5oxWCn0Xwa2uJ
ZFsKi/03mCuibPCODtIf1/5rUGw5Z8aiGxXo3tTS16f0rCCv4zgmmNX9OWmWauGZ7ybo3ULnO3Zd
62ARS+ti8lugMGF31CUX/shKsS6gXOhzlm2uOdW5PUm1zZwpeC6YbbYlMs1q0eWVgpgSiWpldS33
2an8C+U39xMUjQs55+b63RQgdyjzC69DLRjSYd1KT79io/MjRpZ3MzYTEgfC7PuF6DoC0+rcXWPq
aHjkzW1qTDh50/B7NEf39r3rX1Ljrhc9a6H7sB6NbyyjzbMqSq2DHmVnloVc3MDdjPAuG++KmrwM
9tTiBl0JORzljCVO3YdS69GeztnBjSvGqy7Qkr1W+iQLFyxn88rfhjk6atGSIrzq0N1ybm1Bdwn9
NE8YEcVpQlhxNMcWcw/729xRP0KMrXvqP+ZV1xHi4BSy2jPNeeTXODgITLfauG4RkpBKHRy7zss4
RyQjARjQxQ5W5y3SMjf30xykXMR4EdFRJgucGS+QWUyw84WXbIbMGTgZgmnKMSF/Y6ovWp3V6aYx
K+1a8cJc9wQPPJcVplHfhnRoN9VP1mI6EkKKQ5sWQNresgvzxkZUiR2mab8BS79NacDvC2QmBJsj
MKFdz4M84Z4mY0bEalW05HDk3IAjCAz7yWDQf0DGVewqxp57P5/EpZBm9Z2lagxfPh3PJTooVsaZ
5qVbLEkkFvVzqnX5mnDt4EynB5saZrMgiTr8rim0ZTAGk5cGu2SxUhCmLpI5Nzup8FBhFTDhR4/1
szaQIFOTL+g3cPs1D859PmdxG1k0HrzXjO48mS4lQpCD55Dg7XvTg0Wkd8Ubv0nB1TI1BptINwvU
EemVmeP0KYKBtN6cPn6LKfCpS1w6CLm51MXQ7FjNZN43L0ArRFeOeHHWR9QuPLOtrdUQkJ3o2LlB
Uo6WqUvi86KfY1a1a0SVqEqoDlTk5XTTto3qGcMtAfMJFe6CFH3avBQ4xjFkNy5Urx17TMO3MSY6
hgX0q9uctQPraz3ahVNLWXZmrXaGSkpY/sPz2JI7UYuqvECDkYklvt50rboBzyulR5SkU/HglxEa
gsYlJDoc21u6Igz8o40tj0ZA0NFBTl0SC3mhjSM1soAgJcRdi87xNHclfVG6+24gUDrKPMouUYkQ
ktLcMOt/+3z2Nrt29TiS+oSb3O0buOGVjlTPNl8jWnj3hRAEV+XJsAMOQFhCnhHoKhwjDGBwWwRb
A2wyh/sEIPJG6MglVoPTzm0lSzfQMU2Vcdmlc7zu65EQnrgXSHAiG805r8E462yKetSdRdsaKNOZ
RnrzuklwZvwCwIm7kDM+dlUI8xBoHUlSEXYFmNmEkbS8a2uURv5Knxwm4DSl2YMKY7jqy1H6S8qF
yTYdJuNIl89fTQ12kNRh8KVhQw5lPxjDVelVJgMxabhQIolVEhuJOMPa9F1Sz3HmrFEOVdLmPK/g
vtcsEMlUT8pkOxS+f848Hnzj4Hl9o2dxmj6HRApaV7Zb08W2WYxkrIINkW8SgsnlMjJ80YKdL9Sv
Tug9KxlpHEWKzvf1VLOANrGYW3Cj2Rt3Qi+anVPmxpEQRxIym8g46jq/FmDusNi8ARYeFVNVyCxz
DrlZugt8aMNVMvTBurCz8QYbypyRZFbVfTVNFOLMaE5ntKpuuFLEvW1RbbndzaAVxjGeKiJXWE7a
T2mN02BhDKOHqJDin7FJ2VASG5GRKC/D+YN0QPo7OTQB6lkZrSbLyh+pA3MeHenRC09vxCMWcIXK
BpjLjSkCBDcGokq8Nl3KA1sBIW3JfLVotE3cDSlST4F09Fxab+SEQjdPad+aPjcpb9gRtbnWR+sR
K+iukaZzWbFOJGbeCChy4lKqDnjmR2NFrnlApFrFpSOhFtVMY8pf0HyCb+M0xmRkTb4BomscnKec
tN4HiCYA4lDtDILINru7SimJ/J58Lb2gnUhms0nSVyVQb7bxsPLNYi+asG6IaXECGOv0oEsaq5jE
7b5aZ4icN8R/xmvZjeMm1strvZnspxwT5oUzNqj0SiLeJ1leB3hF92SA9keEz7RNZDfhDh688M7K
s2ZYo2r6WcXKsBY9u6m9RSLJLiDe9NLDUHvd5qZ9MQVzXT0vZ1ex1ex7dOZrkPPzTk0GhEOxktjA
8PGeDVnD+bJEX+1qmYuDoUbI12GS/5JeiPjL3GaxHqTn1kiLzhFtsTMMr/xdjtVwUYRKvxMxSdFU
Kl0LpY5qsG+WtWgfJ5XPSxVhxIu+MphBkALgJCVTldQrqyTurbZ2VFXgh5iewEJAKmiOpj0OR2ZQ
Kzkgfe6XnsL5QV4FrDdXGA1X2whxPwjXCHf6UHoH0AQDqRsIukkvMs7gkwxkO3TGDWhm011Kdv7A
M8As2BlvNnHc4zfo/g+sMW+9OLqGHpEstVpQaR51Y5u36obGCLFjxKxQ/Gmeo8qiW+pVDrRpEtQE
nszF6BTatdbT6B/Q4W/HSbvG7RUsg5i9JPXucS0tyJx5N0MHTGe4jLANHqoqrS5lMQ07qgj+Dysu
zatCgc7Tycm6TCPQqPhQiKhxkgSCThNdyDwLj7MF8rqM6/QeBN6DqHR7Z0m/Olpl+6SRdPCtcUTi
LrVYzIkmGCpz8p12pBp8i6oaMMigBUtpR80vKsrJappmkkqgmnoxkbPHwtC3tySkb+iag5xIlbpW
camj06l8SoSoSLZVa9rcfetXUjr3gTleTIqotCpv1v9IqqjqEXmThy79I5uXCJcxBB5Wovcly85k
1C/1DIRVObBjs4zmWbrqxm+dn2ZmPJQdY3qtQ+gN29tMI0E3Jt8xS57wJd2/7lX/r5W431e4/2v7
Uh2fihd5Wi3/f7EOPkPU/30dfP/SyJfxQwl8/oW3Erhm/sUOX4dkOXfs4XDNO/y3Gjj/ZLIIhG5J
ZCjLQYtC9z8ZCsFfEMIpCQS4buFVvc9TDf6i+Q7VC8wYv0d9/D9hKMwn9q5264C7RLtl0GvnFHQf
AdLHvXUaoo4ZG2JAmLotxhStkjT3tUqsR7vXu0VekR5VTVW7Q4s1BWj8Zi5MbbACgic3/GJRVj8O
DXIvYlWzOzTDdJZEm5YPjU50YVrlwSNOYu/Kb0PzOxth93dfa092TGzrf/50/tvuyodH7/+3uAyI
cp89f8eq6Z8+Pn/zL7w9f5bxF88ct9aCpEqlbhZIvj1+9l8oG3yT7gcMdt3kWfrX4+fxSx7iRmrG
Lo/Z6y/9swXj/RWgTqMxQ5Pb9ej4/SeP38c6FBVpHXy5SUdnlnGaxikMOnQNWfWKCDr03fpPVzPE
lVs52GWQdVIDVYUqzush6Jfvrs/fdEw+9ujnw5LVRgWfN4jXz57frvcFJXCZo242k8tsp5X3LLXR
OiP9Pvv8KK8ig//dF3k7DG+wB7qVpoFtBx8PE5StRlhW5KxGxOwPBsnZt86oYQFK8pYaZ+KYd5bq
vWhZ68pnQ14oAr6UwC3Y1RKwDkw0VqpFTfdnZUk3mFEFSB/XTWtGP/XXKwRJY8QqOgzKXOLmyzMC
hBOsuKVeGBfJmONWgn5WTWv22vqw8fouvsuolFHxIX0bkIXZkVSIMaeaFs7Q2tnSo8iZL0DlGeFc
qW5/IXsrEvQCVQuBDs3CUwpV9S4gP8uG+gqg5NDLsr+Nmxhrch3jC1V+UqkF2cclKWJuJeHcWT2x
VKnrFN0+pDRxa+UpWlQjnLOBVKEHMF7B1BfbyYcqvZtsQ3dZCGTGvpFeZpOZO+A0KLqMDq6R5NEZ
mqqkWhuib44aGkm5TnOH4aaIVGQv/1HmwqFO0bhsL2r7qswSam9A8apDNg1EjaUq5kolOnLElY68
bVh9fufnQfPkxvv0iHg90PdZwZxE8/756vSRZNwE1m5tVda6DTVj4TpNvaptKjyJnnhfPGmvqJuT
A846aPpv8+OGtubjAWO/giWSkalOlaFUq5Jh1zunUdkRbIEn+1JSHKjXCiP2TdApwrwi9hAk/0I6
wxJIYjbixQQJLWkwY/rdcdr42ZoijKG62/b9Dly/8TsbfSIvNRgQmwbaDbBf0Zk3nfSb+VaxhC8h
kFhY8nsk2FhnwmVvQJNdaiEEVQyeWh1swlTEZzktHbyr3kTFwwoQx7GmqbRvspOY14wiAKFT16rZ
ZwXUkaXjjW3IQilKfkxllX7VHvubWxUYTIEU36lU66dCoWA0Kr+ga7Yq+m5axzlhfuQ8axsTZMou
EYHxBUDotbR+eqsQWzHzUyfxSab4eKsglLXAryJjFYWW91xUlLpih9Wxhj7jiB2NBmA+A7uIt4ru
2I+ThtjRwqV+GYhv0QzS8jKHAiJcx2GBaQiqAs30Pt/mRl5/h2PoAT8uKn0Dx7Ze0zr+CmBt/jl6
EuVAHxFKNpkXpjUvKd61LCIUvVE5haS4YfJMVzKSyaEoc/Y/7dAF2UKqMbwC/9e5xObpExToCSzw
OqG+K9k0SxKVy3goBEwvwuVg0KiYxNqqpWIRiZjeallL7HAOFcWDG9l+j2wkbHE70YO7LJIB+7Dy
ZVsicUHP+0VrZB76P96e2fjiMOvRy/b0V5Douy/nShsVdpM7K8FXv1Ah2X8ZYaU77LL6F6OE8bFv
Ps8PaOYd9JSzxpHGxnyh3x0r4zQaaugae3Jda1dxNkwhGEhCfpeOpGKPpGrofzmxJX7UU5IccCL0
wSKzysz4YkL8cx72Z/2DjhKCKfFVp/H+TKpu8mv89uC3a6NeR2z+aUlo85jJdnzRZVDe8RKXXxz1
dQL8eLFJ3PKRLdjoDh1U/R8vgCrxgRbgbdZou8BcqcKeW8SYWI9WqDUCZEYPW9ChDgShMvMldfKY
ADhFufg8rxsssa3ZatkK+dxkoF8EkLVogqoj6diMnEsL0ZZP3ruOWK7Vyiw8pxNnNktJEm6yKki0
f+iw6aIp0E20lkmUWwSiZwVHa43usvWzDpCKZNbaw0+FFBEzDC1wv6bT2iOCWF+ZXtLOYkaNPHnE
t/Y31vK4Mm0NHjbyVE/HNjm2yc4oQirNfR6JsygyIKwUaVrQ3XCUw755nLYyKG36bm0w2EAX8VN/
8Vj/McyhupybnbPUBT2kfTJBKBCJYYBqew1ML3iBpJruauhIhyGNw42e2V91hf/+eGxegH3ioT4N
94HrwbLTLcCWSBFtkFvik3HBWC47R9kYtHOQ8Z/PuX+8uHRSUfG4BLzR2XRPxTzjYEagZyFXWvZQ
8LrGxnaU8XjQ7Ky/+/xQJ81jXtz5WCigfRRIdCVP14+FkcsqYx2yNvqhPx9UAtUG5i0az7ZVDwK3
VLtKNIdmUhmKW/gfvqRl2oOZSbrW/P3F2fwxHnM2BqMHq3U0hPQRT96i2EUd0QjgKGZhqLOc6sKx
p9VCKb3LzkUEkKcic/HX4LdqmTiNvDcd119Pyk1W1ghnHm5rvS3D+qvUldesmg/vN2eGvItz82Bj
A837eGaa4YQYFUmvwrUYZluZVca1b8Cnoqah4IaE2YjVs+6ZH5Z9nYTI84y8+DFpTQImiawydxmO
odGsTYceybKmbXSlx4kgb9ypZg5VruXqkI+e1mw/v6h/8zRxe1FFoxLAM/w6dL8bmmGOEnoO6m2V
aaO7IwC+PvAO6zc6Pu//eBogCMudiYJo0FAinGYGukoi9R8ibZWbUt5relPuUjsqnka6rkffVtGP
mJyyM1G006aTpv+clJX9hR7ib97XeX/IQ8TtYg15siqZPHvoCLgGOMiMSxMNhO1d6xbp1nFBeyzg
2E7xV8Kk+TNPng6+NJJwfTa18d5+fDrQ89eZRhkaWFdM01NJUpZWuW6TGwE0oLgH+6UuozDHppgD
HlwGyPTqZQtzCV5qWQzkSQedR1Z2W6ND7clL3oytySwlAFTfp1NLgGstdEp+yPjF5vMH5MSL9zoG
zDYtlt2O6+LGO1kFQaMe5xHHW2EgxbyeTBUldjecqTJ96KYtxBZB6gDziw2cWYH3Xui61f03Z2e6
27aWddsnIsC++SuSkiU3sRMnsfOHSOKYfU9ucvPpv8HgAjeSDAmnzqkCCkghbERurr3WnGNqbNBK
+ze9RKXcOupk0C3x8OZfOT1nvXknN5fijOWJvxRbpL4+4P88wLD20Ws3gpwWJV+iw9R1UglyPN2f
pmhK9Q1qWvfRMiurCQR+5NtpdE0AaosBCHAGFgtVc4KDsJGJB9YDmhUhGBBVuoAeZVYEipYok48W
uHkgoyXt/Smvuj/KrBHb2ihGPQeDvljMD9k5iFD1eiDPxPBU41cjhsUejGSwP0Mta6ArcATxOqEi
Su7TxWaTkFpZ/hABuXoGkqz/Nku3eEfRh563pY4fKUXwOm3GpjT0baF6xbLpGyXngxtb7iepecsX
oLLzH3h8aX9v0ds3A+EoA8+LyNA+MPBv0ax0RsV6Y6Tdo5kPEfJNh+DmrE1sv8LufwPDk+3rEsXl
a9oo9hvYl/6PxsxXDVU16Z2Ns4zFTzxyDTETfcWnzYnX8PUIbyYP8+BKEmNRPCg7J0rmlzjNzc+2
OY75ldfogzd3Va+uqQu0eKzTFMoYrrxJt0RZ0Qf9fRohjLTW1C6yTao9A0f9f1iu+LpSJXur2JO1
6/jJGhqSX1IJlkxEVveFyTocPSghW1At+nahlUgZLx1jyxa0/20hgNkmGpCFy6/fB2sHBsU1gmpd
Oahqjk+CasbMFLtTAtoIa9A6TceuEtZex1QdaNJ7g+effNZ6C1FcnyRX7sFZuUz7Yf3QUgjwcTP+
ZnD+83K5jNO8XIcJ2k1l6uPdq4Oo0pbfA+IjZkJybyjpdGWF5s04f6VtZM+IW/iX/3GyXlqdonis
GgriWQ9MnG6iRCU7mWzjGb55wZaJrdUIex4VgbiBa2CX4CvM7llkJUIjd4ZsuZOVqtzmbpagNqgp
0UjwcmczBD5rPiuMoLJgWGb1V50XmYoGUfb9DUl5LGqL2bEG4MYHm9GVuUeihpLYN9zclJR2y0s/
520WJ3hZvErxiRMAxuoVKonv0PpaIP6wQaxNm2j9s4aMP4cuNrufpljpv9ata6JJHcqnoeiyR6J0
IhUHXcaQaEAWoe2aro5gOIom2TnKsrxZrJ6Fb1kTYJVRSX4RlAOeT8vnxEDlmVFJA3sBVj5Fmb7K
1pbiHpMh3zVEQC32XYLC9MBc4OJuHG9ZvIOYkukHXBGF+Uppqj8ioL5qkOo5SMg2qadfahtBH5pl
536GvTqPm5mcPm6h3Yyfl16DJTcbNTrrPB28jd72KTA7IKxsURu0m6Nhp/fOPLlQLrPcaEmhSRmv
9mOb+TZgoA7DFQa0zVRURMaTvDA7G9QqSuq35CmAaRQRwix7NIo7t+66EQy/o7ykOFHf8JyCuULh
aD/ksmpeLDFNExuaevijirk0N+Nqz2A2br1ruZtUCE4JVEL/Y39txtp77Myx/dJD4/oGTwuSOBFH
4GkhKUJD4stvuptJV3CvIpOMv2O1IE4ngwCHdgKRO7gAWl20K9O6+w68BcdyOhCUC59uUXo4qZX7
nFU2oEkSQZR701oJT9pC1UXWDvmuTZl5+cG2pareZHWZfQKIS2qPmVTa3nTrusYps/Yq42mKx5+X
V5DzdZMgONyM5HBRmeJROF5B3JTOluaRjCIFehy+jDYsvVo+WAnDENWbrmWinL+9qwMCHTb7MJqC
p4OWMqlBCSslH+QS5CLO8uURKoPx1Gtad2VxPL807PEUJbRnqORoCx5fWimK3KoJPUVd27nfoMPk
D+6kaH7cIcqlP+dd+QSdXxrjBdqP2A+YJ1DoHx9PE8bIaLdH+YgG3neh9R2qOIblVdnK9vKvdt4z
+TvKoGbUGVvAtThZBAEKK3ltZV4wRAw8N8QQWPfV7Cr7KZNa6KSD+XUx4x4A2ZROt1S1/RPJ7G18
5ZI/+AJgueDmqgxJ2HOefASN2rQIbRAecoUZwXDfaROIrVzpadokg4hCbRgryDCtjMX/cGhCHg06
iGAnOIXju+12sIMMr4uCROblAdf0uO3p/e1nlFGHpZR4ZEkduLIfOqYT/K12XeTd+CmxbhIsfdKp
Ubp+suq54JGadWPaJcwQ+PBheQEA3lp8DLymsz+VYvR8Ml3SK9++Dx5onmeudQ1VZPp58oDpta2h
bK8BaqJp/p12A8pDbrAPPhEty9j0zeuVx+wv3eGkfmYypdJJANsC4+P0kKos03xpI3jkNkEwQFrV
nzGULqRN3dLJG+HJ2Q1sIGZV4M2QhLbwxC37SQD8HgLCrWjc5bJ2fKSi9c+FLReoQ1tFlu+q6wJe
KSnfwBxIa+kXuIlSP46X5NGJuuwXIRLsE9DqNxDE+EwFqTvELynVfh1OiBDiTT3NTretvdZ+UR19
la27M1+6Sc3AWhMhZN+XVOkQw3C/fifydIKMxdpkIHAYMrmZGhxFILvK+FY4dGTCla+C6imNhoPW
GvhH+zEuWJmnDO2+otUzZoaJPl1Ku+d31csoC0WqTz/gz7rMzyJyhCYuf+CCEr53nqfXPx1cGgCL
9BF4mtIXALBwgvB5m8kLASSHr6cO7NhdHSQSGk6SgGH0UpdwG9NY8nH1livPCAubGM8PnmEfyGjE
IGFMGB9jKoWUkWC/3PTzopubTuYLWRcqmXQMMZLhTz0J63NnaNk7hSzm0qmN4/hLmqlDFkxJ1Lxj
rIyIJYE8KYOC0OMv9pDmSohKSbY+3Dmz3RBcMhKcAqzBQOhcpoqfgXyL75pJVZ/KyGvGQInG/mai
R0irglYh28EuTwpY6k7/x0s1BJFqPavfK0YmtC9NOQCxpro4RK2hg2dBJU1WxxLpzOxao2m/z0U7
/WblycyNg50SyhoUyL3RULOwsUILjGjMwBevz7X5xqpD0khuIgwharUui0+GTAS4jaYnOCMaGv6W
Mo068475z6LtNYC0tg/ILtLBedYAuhBg5W2oDsjyuE7TtfxaT7lmmB7ix1QWZYUYGWXaJiGo/GVO
FVIIi1QhQwDKE3eIL2th+ZpamU/C6FDlgNacf6UxPDdMq9r8W01m6zd4jBKgoql47xRnlgPqFmDH
LnVHJ70pkCa2h5Q2j7Kxa7d+N5ZlRj9M9+EOw3oiSKdZK31C45GKV4spX4Xez7eNRcbtPQEzCAGR
umXfB7cyf2tLhP8kayEpki00M+YjZx3sqQ6AftiitTeXwFEwVyDWspY4nKVQwtbqpBFgAkDbi1g5
HnzGnfWCvFFTVoZtNJGQBUPXCry8qp45kwIHdZoUhQ/GdTb2mgry5LaDuK9vgfjH/33DAbwXUzmM
GDrmGPWP13yZoUsrMAEHaUeG7aYdYMT4DXNWnN6AFvd9XCfkDAL5ubwOfrDN8gy0AfRU6ePhaD8+
bkzQLzTqtTVFBcW0LnEsHE3mvKuHmsmexbDAae35SS2FlcA8oVF/+QTWCztdhvF6knFOi5MK4+QE
nEHNBgWFdFClVnWwRK3dx/CkcYIkPy4f6fyLzqbOMWBJUcQwDFz//J893dAMfezMphugdlw3HrCV
Qo3AyzfFWrqd1SC+FTK2rnzMz6+PKhRbm8YACKGPc3J9ddvXpjo6TgCMbtnzaZC0Dub6aXEBFV6+
wPNPOIeiF2Sh+EG9cTq2k0CQ1VbQsNIXtb6HxzMH+hr7MAwGkseSO0rhbY8vfVZc+Zp+cJEGNZJJ
/iwTVnRNx7cW9W2sZZ3KrbUnBLY1lo4lMd1vCzf0ys5cM88eGNR0dEKAZFAk0p07PpYFElQdzcEL
lKGIxWsjU0iWYohJsUqK4Y/T4XTfpZVjL37HPjmgrIimkPOGOA+hQOl80HugXWQCOH+fJ1V3Zd/x
wc2g56lbLgNU8GGnuA2nhiAF9CQKpjyb7nUtX26qQhkCk/CoK7/4B480si50WahsqBdPH+kkswDU
LGYUAJebyGZCK43snsjDFiF9Negi5A/Ihr38nJ2vGRrO0dXZDT6FqL6TRxr3fbFIxfQCg3lXvCtd
nX42oASN/bRC1ljsKvWeca/GKqsP6hPcqPT/pTmh4vr/UUH/WqI/uslsf5gx8TR4ZwUjwwJYS40a
BWrWlu8VzZRXIhTRPawowqfL1/vBXWYQvuJwPPZ3vMjHT1xH28+089oNkloCOE5mr4Xwx2KdbTVz
LrjqRP1mDVF7pSj+4Li0l1mrQAmydpxy0JrYMttZ6m7QeVkdDraavUPXiCu6QAC1YWoNu3RIkexd
vtwPbi2yFvaw63gcZdpaq/+zTs52pNgt81M+mrBXdo7ksaXWquoQDOFwRS3xwZrFFdJso2Q18Jef
HIx0YLLreFHCjMZ6CI3LRXtiOm4oYlm8STmYe8NCGL6xvU5Jw/9+pXimNZWlmZu8wgv+vVInF4mG
ACMJY+nGXyrRj3u6++q9UqCVv3yoD35Ltul850xMtEhCTw6Vu26O/gm1jrbIWrszzEYJowIQfVjS
SK7CkuQg9Op9dGWFOP8xUX0SXrL2cxkU/LWO//NjtngfXMtgTKv1hvPuqG39XXXdbI/v1bq5fInn
C/PxoU4u0ZhgAQCYYyKMsUj3SaJTaO8gvrryWqx/z3HFAOlEX0W1PH6sQicfG9qUo65mksS7Kqnu
wEb2nyomXndKtSBuQ2S2vXxdJ0iAdWsMjQtxH6wpwCP6qWKE8Jos07u8CD3RItKus9LDi0MwjtmE
zmI2D1HaTV9aL/HmrQuL8wmsRPOd4Vq3ixj84NJUNCXbQhc3oPgaWWVtyimqg0YW2R4XEOPby2es
nz9tyC34PrKVtxAmngYjs+VBbe5ioUhEB0yn7uLiazLhYfvU0mdjOBtBiceJaHpDSDps8j46JRjt
NUE8w99VVPkOCKHzoiLgGYKhJuXD19va+dEBj1N2BB1GX0RpJD9UvW+fyMSOiITIq3IikasUX8sF
ZFNQliZkcN20Sp3+IbCtTaPDIPjPqxUtIsSe/EYARRDIHb/DGngi9kIJQR6znmIWLt2H2c1/RpGp
P1++qx9UHgh5Vi83PC30rKf1VTZKp3QUUiANGsZA1XuQs4ZwHwc3Mx7oZS+PtdpOn0e2TA9mjYwl
t8iiZX/XSN/JtQqUSFWieSWRXblSFX3wgwM6gdtGiYlE8JRasTQY9Ah65QfXumrXJeWy9RpcpZ3I
lk/aQOVJenty5TH7Kzo8eRNNBO/MID3KP8SQx/feTYUktsRTAo2AKIio+NruU7UgGbypJmyHBBC0
JtDoXDO2xN7rzrMVx/2bro6td080xFz4nQdTGA0Adgjo1a3zAoc0LXflaMfe7vLvd162sLli6Vib
mCqCFf3kbB0tJgyTHgeGnSwkKhnUc9fOBSk1IkrdAyl7YqMRJ9KHZuVlD+wNvT+XT+GDJZJToK+I
Fpv//H3C/lmN+cS7uavFaDaXpNx2lSL+4B9Yvl8+ygcLpEPh6ZHsyH7S+Jtv+M9RWnx75rBEpDjE
C0z1YtKUEAJ6GjjOOCgUDuz2Lx/x/NVYJW6uST+NHCsHhsrxvS1lo9dtB6heHWUds3Nuimdrcdp7
FNLRFgKC9khGjrcjBgJMDg030mZjC7d3nzvdlymJ1bthgUafasyxLp/b2c+u87JqbBVUhpkEpBvH
p9ZmoyrazrZCYEC0jkZq/zULuItDtTdabVfPLQgBCo34fcYOHQV6SULilZM4ez85CaTCuqtSVpEg
f1JCypjEwLIWQEzmakIGVy575NSIdQYl2pBqnR/iTGTh5Ss3Prh0uAx8vJAx0FY9VecMejyBO8ii
cOzNnj6aaS7tlrqVpD9IBDm0ctKljG1M+uNn0pCTP6gt+9822Vm/pj4iPh5oRvsu56VleTcUL9qk
rkvDa/W2/9RrtVHRti1EGswkjL07ExJ51vuic7dxFomnSZjdE0UsCdb0JMlWq0qUzT6QBXfnpgBF
N8VszL8sm9yIkLBk7bEQauH4ZCXFy16YmaP7ZiwtoPW2RRwi55k8UikL61A4xDZdqV8++I0AUqEJ
4i1cS9LT38hURNsYpIukTtYEFYzeTwOwki2MjVv2bwlx8rF37cE4WxEoZOg9awb/1davy/HTKYlE
lm3d9CEk7f6mpmuMa2920JVcfhbOxyprxaTbhHWq/Ms37PhA42TjQtYWro6Ag/uRj6qvwJrZmVln
hq1btUHm9dgjkw5DgTXOPn097dvlk/joDlMA09/nDWARPLlYJGJGCza1CzuNpNIqTWXIejAR+d4b
+D7N9gZJMXHul496tsXgzQN3jv6V+4ux/eSooAVHRJtzH85Vb+yrBTNKqRKjaCdRESbYF3ay6392
Va8eLh/4/HJXXRmCDaaQsF9OP4+J0sJTz7U+RP7tvepMk/wc+76xkV5WLkHU65kPK0Axr3yXz9Z/
Lnh9oFiQ+cc77Qp0C5gEC75ZWEJQepjxoO3IZ1b3gtSIW2jv46/L13mullwPSP3B7bXp/5yqJTpT
iYZySfsw9XJVBl1WrmTcLGpX0YT77sS4MFYyvOPjxW17v3AG+dBOM9P5VO/U8coPfm7LWc+HBGIa
mzYqC3v9Yf75ANaKk8x8U/pQkaSKpkEXdcTjokQe48DISHkgVaJDQYP11sKPnoBb8a2KVB+/Jm29
9cHq9LdqB7jkAHiNnDo8Kj0x9XwdbEpqu1A2rJxaswMKxTRbV5bkzwI82D4g9s4+TVSKPxQTqT8l
tq7QeyIQbdPFdHMDIOqUw3lN+OMdWWPZqzKixNhMqSNE4EbIA3N9knAwTJWTIh/G/pSMRfTMY2O8
GMacD6DpwJWoSr4GxvWL0BgPaLXlz7Ha7vsaieGuidvkBceF9bBMpYSIyfjqxlvUlY7VrsESWDKM
KLBa4nPfIiLMCPpGyrvTmU1UxMUsGlO/LG+99LnzQDA4RQoip0qnhDynFGjOnuo43mppP5d7g+3B
12rS6P9jAlqMG1wFiIOEMayeaDE6Nwx0VRcFSSnfJRmRLYG6KfK5yw/hWmse1aL85jZbABZweoNo
do5/8yZmmjSlTR12ihQ3iJYcCAzZcmPRrb/yXaU3cH4wOnw06tl+MhBTT7ag8CawlpPfAXdLdYcX
QdLVa+FWmsZwYdXKKZPi/GKLGuENmtP5lerI0L9UvVLILaWR+juz+lmgdyTq2a8X0b1rpA8pgasq
i7wdo3j4mtNQdfYkHtn2oSBNRL8DN1QiJu8yWDMoz8Uz9uRaIxBU2maQgf3jQznk1ZesgCvuAzyk
JTjPbEsDgSLvq9fb02q4Ayb42DVI3sPZsqGMRAh+uqBVDWw6o4N7R4xkO/pCxYDlQx4j+pPhHgIo
cxotmC5d0rU3bHghCVd5+1akFci0nOhJdVMgd3zSpFRhkRbkOvsTINAmsDw45DUrgRo60HPvmHPG
qPuAvLQH0sZIxIBJUeES57mz/Ngq6x+5MqAyg4Ze4yOCQ2T71mQ7N14NZXCbz0yiWXOsmLI20UAu
ojI0/Y556xRIXP12YJfsC7cRVlUzXJbWoTlcTdVNWoLF8jH+aBB6iYR6MWNhWME8qLSFaSere1vY
I6Ke2coanN8MgzY5gT1vlDONHsJAi+9FMbjfp4FOFX+nlpoPpsmv65uocFYeqiWjJxm3jYZCKScS
D43D8Ir+3hTMcIz0T0+QgvtlzqNh3iUy622kPBM0aOIIyb1cmINZB+BGkUc0LGe07RJS5AjThBzz
zKPd5586MUxPBUF5RSgj7A3BkHkLQ8K5Mbc9uVYikFCopntPi/NvsxGn5g6pQmMFNsEpgTN1oEyo
AXuSLiNTdD7kfhunXmHTN/csBd6DVGVPUEwEY92PGhlROvKPtes8RlE7r8nJdaJSH/OghMX/zswx
c7fYMEE6kCpq/Uzz2ZvpfINJRxppLA9x5Cyf+1ZVXzpEHD1YjzhL0R156Yul1FkcWHPfP+fajLlI
y0dOqo+YNfl43uQD8pb4l417YuXokSNO7qSI32IHii+jKuRXGzz4qbcxbW2on/q46IonY7QXKLiZ
QEs9dLkRZMUkX2BlWM+Xl50PVoLV4IK9BVkMNbZ+vOwYbceXQO/HkA7j9HnyomQvo+rNxXD3RA/h
msbog1pmbeWtQ0JGPXxsjw8XWyD6i8QYwyrSwYsw5VipbUqb03/IxxBRTbvF71nsKxRrny5f6gfl
DM0aD1Uk7GsmWuu5/fNVlfowqzw3ZQg3MaHRlSz+qgu4gX2B8miY9Zcig21x+aAf3F/2yXShOXXK
Gf3koFbLPkS0M9lMbonujkTrMEdBuXVp93xL2snaXT7eBxfJ8ajDsVrwOfFOfs9xNOexguYVVlW8
7BpiiTapLSEZZf2wdyJh09wrr2lvPiqggHTBg+cBomQ7FecT3oQ5f6BDpAzQZEJqu+ldmi0mNQck
EhnwU5UfZLPQ0UFhPhRfXSep2ht0X/ZLn5tAGS/fhY/uOjuFFSqKBJdN/fFP3aulXUk77UJH8ZJv
LayVDdAOJFlpv5CQMl97iz74eK8tJHziDC8ZmZ081jnJqkrmmGNIJnX2uW0RRCC+8e5Q3KRXfuDz
bi6TuXXMzrCBshvr9vG1pU3iTMaYTSHbV+MGVQKxsPx/g4gyPhRWOYRFSyDmAJiLeURcBAZgqy8s
f5PPjjQ34APZctva+kRMMVCkwIaHulX1wXKDy7/CB3s2qLuUsBYhBcxh/oI5/3njRmIELGskkSXp
++IbPjrAKuTrAYxMF2cDymd6bbGQh4liWF88hqBk7ZLMdeUszrsIAOPpIKwyaGZgpw8DFn7PrpxU
oEwq8nxHWExcPpcxsoSwQOPZBy2hgl8SrR/tQJBzouLazsuvo7Fo32M+m6tJumweJgTbv7MmVQ9L
Zk4OSv+C5lQ91eI7iujoixlpy5XF+YOXGQk7OwGk7DSAThthBJ2noPoXuLXe7NyOKFlBg6XilsS/
JszQ9B+WJS+vVIfrdvKkEKU1zG6IfbbFUOnk3VFi5JHuwDDLWWk7MOS6b3UTG1dbbus7cXYcmvxs
6A3PYHd//Byjm8hAO6zSrnqEwpPNbvUK1Cl+cPvJRGfryO6mbAnyKUD5E91GgX4XaVH1P9xjpsHo
mFgzXedUuEJC05gTsD2GrYe0AaKIdksCchfQoczuqn550/hyX6n1z5cnNneM12lt0T2hu3d86Yg0
PBCbHDOtsmJPhrX8lWJXJkS3rpKwSEA6XnkH1r/x+Gazr2XZxTZMF1F1TxaNrLDtsVQXPvNzCk7U
lK25S6B9jQG3NHnUQC2uxl4diV49WERRALrWHlo6zT+UfNT+XDmd898egwZbbr6Iq4v5dGGgi1BC
fhQTaelJgo2MJcKYABEqBJnc2D2YgKpSBZHW5LHCSUgxL5nx6+WTOPe54zSlFFGpBhiveafKFs8T
XS8VawpHzei1sFkQ+BOcVXm3kvSaCXuUwom4+JwVts5d99QuUpabWrrmkxNbutzoA8zwjdp13Wtk
z4S/Z1oDZ3Smb/EqlQhjvC3ybp/DjpugBRNXyl430a9hPM7nGKyxjPVIJlwHAziqjp8nwLxZGot2
CjEclUz5l/6mdBnOUV8Z3DupzSyxXbbP6VqGtZJqBtpFtPgb/FL0OlVwGs2Q1nunb8pDmqhNqAqj
ubl8v8+XYRutwzqBXJcV83R80QwzPA8odqFF7c6Ip8AkX9VI25DNfsYpMD+KalT3JfrHUAcPd+U9
//DwtAZVAtMww/1F+P7zLaJPls1IwmRoJ2KYicQzoORLZ3SiOzLUFRfUIqNtNK6FNRFtM6MGRX4a
KVeK0L/D1pM3kSqUSZ9KuUB0wEmBtlhuQbMPZQtfoca9B3yXJXepBvnwE2pUbEgx07HHiGbuK4Fi
ifJg6ZOoqVxK7+BVQ5Xf2IlhgGSoJ3CtuQmdNSy0BQBLK9sZuqXGrpZE9srr/JkRq743IgQIuA8T
o8X3nSo/KyOjpV2pLRUpXMgSuW1U09jWJgXTNUk75qYQCb/CPKLylZ2V3IKAH61NnuIyD7K4jW/0
xemjbQVTf/AdL872HRFANGcTNfI2dZ4s/UEMdv/THebmG3xy83NsJ3n+dYrMfN+yPWg3tqQsdvXC
bHbS9UjsEHbl+fS11SvCufPqDH0NfiToUR4iidOKSQBIJBTa5EW3ZXpXmWzdirrnIdfranv5If+7
Xzr5eamEGZSsoh4+KuvX9Z/HbPIA8gl1FWx5emsmG1VjKxo0SLbGTZSZOtnfdDfKB42UWjbgpBQX
mB7nxfmt9V2r7it77JNnHkVGFpdP7YOPDjNDjFmUjbSuT9vIyBPHtu9Bto9LqkBajqoAV0L7axL9
d0AxS3D5cB/UqQ5DNXOVuNG0BsByfCdEG6lk86w9ptjAkwzCMOWBjSbVISctJjp66xRqbRxINmvK
wON70AWirAttO0+9KEMPi4jwSyFQwtaTjTW9WQysYnnXi0cRzdGjQPFtXjnt82eF2HEsBLyZyBlY
rY7P2vHALOPXzBkzRMyLiP4R27GbptumTyL7vx+MQ7Eo6agyXAqQ44P1fFtiqS9ggrTWOXiL7EKX
WODbmLHalUN9UIvzkaMIXhdA2n6nuWhex84NJ9YS1lYi7ohrbr4rdKG3JiEXzWbgsDcTZeaWj2aM
4zVNviKWdK88g+cFLc16xFLryJ2dkrv++T9vhxN5OpNxbwktquvfiEic59mrwXh0SeOECupcgfjb
qp0r356/r/jRawnejo4nDDsdOzeOieMDJ9CORNRCxehmnGWHMVbVh65f8vzeKme12SYd7NFdQjvm
NUuE8VqJKnu2tBybjlpM7h8GvMljk1PKbS0Q2g7fePSYm2xs2nlTdKSebgQYY+TqEQu5gr0bY3Lb
xxEoEElepVxKK/LH2kSdbkeAEU1lcF/qTpIIDkm4XQ5pqc6fuzkFm+vaY4M+hzP7Y9O5FxuSKEex
oTkJHrsn6eXrlVf1rBxbd0ZARtgvY7KwT+cNmK5mDHKuGYqETWsXk7kBe6rptNs+S9IoNEpZ3agu
NjBtMptDlo5qcmsiyHm5fCJnjwe/Ej8QY3gM4Svx7/hXQoGZmHqcLuHaFswh7pTNvht6DajqNGoO
9Gkl3rpCgWty+cDrnub08UAfruNE5k7wHpwcuLIidu6mGs46AeuHOdI7Pms4ZxD1j1b+tUnsjMh3
2koTEvNZXrnus0WH60bihjKT+a3F9v748HmMLT3JezaeRcEH17VmTIkZQHvCLff/+UppgPGu8zLg
8zuz6JoxwqiqW8LYpQO5STpm4eCU5ylMusm+kya7EunhYgHoHe8uH/uvGP/kNiO7BaMHk4le0emM
I01VNnRxo4WQkzCWYg6pac57RXtXR1rlBjPj4ypQ3Mi6KVJRkqUyVTRvAeBkyQ0fGotGcqmq815E
MdY5FZpvQIMfGHUyE5u9gTVnflE4faDIIOBACTtZtC0drVaDQa0BVbv1pDf+MtTNp0WX1o+0SjDq
51obvzeRyD2SXt0Y/UdX9tdesg9+ZNNEZUJ0IvefBuTxj2xNWmOMkaWFnjtOzUElffVtNpykexiT
mMkGSKw63hL1vfwSMIVBO2Gcn3zSJuYm7Frp7Mq+I1gNSxk5RNSnkU9ANp2tyz/SB+/gKp1VEZST
wIF28Pg0McpXkTTWYUGfAAuAPrCsjBzXne9pztrTLsZCl8CTXqL0ylt4Xjzx2tsWhBzuj2Pa6klt
PM1OxSo96FBrKmXxpUzdr0IM8n3UVpx4ntIDh/GJ3Vj2zgPN3L7xLWHn8DsZ+GP3Ta+8LedfTc4I
oSYNawiJPLEnCwP5t3XmqjyxBsPEz3Ul5H7hSwE5ucq8GzaO9YGMHTtYqiZ/8sSiB0tPlXflNzmX
JyF8xd2CHnJtMlqnKmMNlyw3Q6phjshXOTQq2EUfCZVoAibp0e/GgULimxZSfVF1Vn6TDChQNyrG
Q5IZomR4ZEmDCGG0eMf9jvmweeUUz6pLg70d1E3DwNzgnDX29dFO3bJ2zFCD1flQY8nxeW21z2O7
VF+Loil+XX5MPzgeiMU1a40qjQLz5G3CgD+i6hSkybZmVPmEiUW3maLkr04swAs7Fd2tK5d4/pFA
tkvDav0dDBQX+vGbMdVWmsRzbobdqEV+33tpvlHLHLydITFrZJlkGJlFy9bF07D815YRCya/CkKQ
dX9vn84R2nxsLDe1zLAZsUoOmOB/9uyhSZ8mLUX4c6ovxpWH/3zBwgi/pr3iy8CDflbAL95kmG1s
hcBz5QFP0lhBGu+U285OzfzKxumD35MWp7WSIVfZw2mWeV7rDObnkoO5I33pvlaAChbxvUzLNwQh
zRXZ/unhSFTiS7+6L/gdYUmtv/U/hajnxLM2pm28zSwD4iQcSGKWTQKUtCmyDgmqtmtPz+m6+veI
oOvwJKyfeKi0R0ckzIPV01KVkCXbvsMdP0AiaOsnFeILtnS99nt3vCYZpdPOX/vvJ3c9rM2An8EM
KEcE58eHFXoVOTPQ8RB6pv5AFes1WxIp5hdtRAS3IezWeCMDU4Fd1RBjEkL40w4eY+CBrLzIW80w
mvoI7wMjn7B7Q2WoXef7Ss+SJ4C8M9v4yrAaX/Yy/twmRvXFRh8AllPNx7cJBuK0jep4tZBWSf9z
SNXxezkPkHNVa7GdDWvnGPsgNtQCCWOKIaSmC/mwuHX7ZykLp9rEY+JsJzQm6qHP5vGgV60DpEKk
yY8kRVDA8LQRcqP2tdP4npzo0ddKR+ng9nG2cZVmEQhCLBwYrtKLnzGC/m4dmMciWKsN/ipk7394
SsbILxeKa9JJGb3LGtMZIbJD/SdPOlQrGatou+kiOWchMQ9ceNcpkRmgU1IeiR7JkzCSTnYnLREv
PvEQw95T+a3DLDc9uEuKkf1mgwAro+JBizazZ3dfI6q+OoxaHVipZklt3DDepm83jUZ+r6gp1g58
vwkm3kLHjJv2JWrCnhQI4PS90i8P0H+yxR/1VrBLMA2l28S0Ku86/uwpKmNIsp4ulNifCW6l2ivT
VrLBao2nZUKcsBV1I/7YvUsxNmdm/1Izj/0ziJrdC5teFz3bENcvetlJEKiTbG9xVUZFgFYFpryd
ack7mwqtIhDObnR/HGdPIimPgMnJ0iT2h5wnaEgZQoLvzqhq8U1WqdlNpDsTbEwNFRtA+aRBQdqp
K3qOuAqETHU9VD5f+VkSA1skByYjMUG+GSPDDVgXxfommYgj9hDMZvD6kv638WKP2WKmj0O8N0bC
wyBvKcQIeJUgmgfWrnxb1Ahf+oSf3dxUZVrcj0i1QYiNy3sWRdabi0ik8LFQ0HLDUD8HrIwiuaOL
m//IrJw3VysnW/ojm2N7o8PI+F1L8KGh1IVz19Ze9osbh+/YUlLW5cufu7MWLxA/uqYrCB0/BB+h
k1bBuA4wsskrt5j1Z4Qy0u7RsSaC3UoqdDIBVAzNzAQtu3kH1TYnfIpk+RvDR+wEZj+VjwTX4/qV
Te3eNORs6MQruQtIEVHpypWzPV/r0KyxF143U+z3T4fQVt6XqRE1zZYBoObXLRrdFEnoz7FIv4vE
fOEi1efLN+ivq+t4oWMZh/cEEYGeExuc44WudsEVjA3ZLao9woQx6qi+mfNWrcMm69mkd8kaFaLL
CuGQSWQYOjSlnGVQ6UNv+b3U2zVN2Sme0ZqQWv9/nJ3XjttItK6fiABzuCUlqrvdwXY73xAOY+Yc
i0+/v/I+wLEoQYQ3BjNzYcyUqlhhhT/Y82BHL3aLpeEcLVyPLp1d8IBO4X5MwQiXB3vR2oY8w6aD
6AJFe5uCEB+eDIFNqDIvdXfoET9Z3481ttkvemIIGD6mA1o0SaHYlMqCApsa5cifmPF/8Rhbny2g
OSl0PG8RD7leNN9X2lHIrsYDFXrHHSjsqlNC/8bN4uo5VZbhBw6isRJSWKDQr2ba8AEguIm5F0v8
3i5kvcLTcFq7j/rK+cxjP08PFgAnNClov34d54kKmpPN6ZNngmrkOJbV7y5JVArJyDijgBuL6tC3
VU3dEKbPqQQ4pIAPWxOqeE4x1kHRAu4JOMXTlwY3nfmQGPnY3WudPSbg4QskHeLWKz4OKwoZJ9zI
IDkOWlTu5fCXmw7TAeJk+v7U1XlAzzeAJUxRzXRqZadQDVcNqaC6pyVuDXoedGgr4cRkdv8YI/G8
sgyyVyrby0ANzgc1e2hpOlqAoWrUzcnt6SzgbCkgA6jL19s7XG7g8w2ORiUVXDqGRC6o4J4P1cVx
XsSJCoy77TDpaUxrelQau32+PczlMpq0JVHZhWwni3WbwNqlWbTaxRCHBigG7ajEefQC4gHnHrsA
OzOJNn3pNHsPQnIlToHCTw5B0gncf5t2ol+j0LtJk3CY4govy1W7Q2XKeKYQ0z/rUWLt3agXIFs+
HdL6jmsBsaUPueWYOUYrqtg0sPICvdD/GNdl+Er1rcGPMFUy743bxsldaVTS6BDRhy9o5kALVzUU
O4KhjaLik9PbABpLmjfPeQW19M5C76QNkMLyLEzte6UJ+kHTPmJPpA9BTz/xZwrgog6rZgH2JIAg
IF6VQtz3oxT1X19UufFG4WjgcFWt4oXysNn5XqQbVegKS31M8maSsiiFiTcjXC0F3GNZhcT+a+aX
ZTTVYBhBsPH8qpodGFlhfBwVnYwZavn42c7FglJ5qzjKgV5iQ8NQnYaBNmCc68cCefU2yETTvI6W
WMfTglTYGkK719DMEY32o6mdLkHRSCdKykTmADGMjLQ/oIiJf2SWVQ6hQIxmS5eDZfPzPkErvKn1
6jnS4mU6qFwj6HdU2M4eaX3M4sSD6f3qPDoj/mrRBQnW2Mt/CrWonorGU8e725v7gljIM/pHJoKX
lFoMqer5IXJaa8HwacrD1Uh0K+DGwCjAtRV0+S1kSQoLwzhsLblREwyJ+nVUAm/MoznAUBA5WLub
1ZUFTIf/qsoQcIubGTF66g7lkIpXIzKdN57bCUpRap0eFrFi2trFRoDaVBV0trk8IwFZiQPi87B1
6jG8Pb8/iJDzS4JXkJ4CwBpaXuSJ5/PrytVwh8nLQiPTERXMY90gw1DN3o/sFvDktLQOSjlTccd9
aWD3udjWxxoIbHXSE3sxghbQ/7ehwOThcTI6vXxe5JMAaoswn4xsqq0nOKF5F7DxiHUMgayxNMaE
Osn3mgin1aiqX7wpHp6wRxDzwW1wEgzKBU12zrXi/Dd0hfK29Dr7l2GXaFPeXoLLiwRVUdR1uCQp
l+D5fb4CC7ROB2O4PLSWunoQK9JuWUwFuVJtzHq7Mt55AS6vZcaTDHcYC9Igd3Nf4pbdTVPT5qFe
JomGqpFW9U9eUayn2/PaZuPsXK5FStQMRgVoq1dtafGMRr2VhRPqSU+Z09Uoi3b9i+h0cfjnoehO
GxIxQqcIsuj5EgJtpTxnLUXYA+I8Ia4I4r233bfUYZQdislFSZhpQbuQhRxq/jTEN8sXYUbnlG6a
htjKjs2barRxRKP77z3P00LfxeZOJbEYwNu72WiTxRVpg8qRagn4maud3Xm8gcVzlLkrREhrMN56
eTFyC49A4Q7slC55GIYWn7xO0eJ7056s35OOLZ3vaiMaQNRxxk+tZUpia7nS2RE0pIdAtfruo6h7
w4bkReHzMertXVeMy71qc3D+NGVBa9IAPF/oVqnB2zZDGaKuv1TBNHuj9xo5ivJGKToycMWdZmvn
415IXlOck/3GP4o1oEW2gKe0LDS1n+cqzJTc8/x+sPRTn/XWm3JU1Aeo0dZdidu4j6zY+J+pxJhz
dtifBZ5RWXceOm6+harnU1etWMxSfSXZ88oCZLSmjpWv90a8c2lfRiQQXpFQJbxzCA22MVaC+Ye9
Tm4R8u2c0zwYSEYN1aFpLVrCTle+GZxk2LlIL0+bhziENI/Q5F/bDCZq3LwkxO1CeBhd5iNXaH2s
nAJEWEMr7PZxk2/O+Z0NoRLSEUgwl0t7K05owhlENqivw3XFu5OI8ujVRQhp3yLaKr3nOlZFABVD
/Xp73Is50gdmZlgqWBqx1VbSQdjcWs0yt2En3I/UFzKq+mZuhmIy2ve3h7rY6AxFt9dybNTKuWg3
p1xxF2hii4b9HJKA/xllb54oJpU/6P1TnXHidQ/vtu1oAutCVo4+k45ahUdieH6yTK5kt+vrJhxQ
/3xNorKXUGQIgU3fzqfS0qTaTjLw5zwYD7QcqxDxNHfndrtoH/AzLEJoHDQAmpHAb5opZTE1KBMk
XZhkqfIz0yYXK0HFPgoLghc1stl8Y9aZYsAgdAt/VIFDCbdqdo785erT6ePcAP1z6SJs4WGCZg/+
pOsYqoUmnsbOWw8snnuPFees8isQZ955hC+2NNuZpEAqN/AisrnPl1+bYMVEadqHEbZNd4VOYROy
THYq42V9srwSf5URbWtadMWOuMblpka1iEYqUB9qAKCPz0eeRsPsVpSywtQecw2GnD4+1BbJNQFQ
Fu1M8+JmYppSH56zw5emrHs+GGdWEfCH+9DtDeM78ALtru/V+tCa+nzwYGTeL1Cjdwa9OkOAnEjd
AbAh0jsftJsMWuR4Y4UuBZyDqsPGbxtPvyuafLi/fWyvDcXr5NErobwITvd8qCpH+zHW8bI21MT2
x3H6jvTe9Nnsnfjt7ZGubFG2JupbyEwSvG01UaChFGUz6wSRieI8iHkZ3sF7/5FkiTuA0qPwcXu8
yw0KNkk+gty4BiqlmwsJfrACh3MA2oCN+E8nypPAWSPX9l2L1q+vL6XRwUzr0JEXlvt6e/DLyULk
hfimEvRI3bpNfJXgzDqAOCRE1Qr3lHDsP6FHXz4o3BRvoUT+H4bj1GtQaSXwa4t9IRHCZksri3Dt
V/MJF3jhLy29Kyt28q8z2gLH29O7PBWUA/iMgOD+hKybXSMjOhw/babXw7OxR3t5UKsxOrTj2Pha
rylvqsXYg1LJD3b2iCKMR+IjwSMAAaAWnW/VkuhjAXbIuzkKO4zLpfTFrECa7domoBpnkcfRIu3N
uni0mynemfPlSWF46ZLpgGcHgrs5lI0jPLcx+wJ0kJ6/KI2LJggb7ODRRNm5za8tL6IlJHk2OTrQ
uvOZxp2jz9TtinBetOmxysm/oqJETzUp3R+oJc0AKXcFlC9a8wD4AAMQftFvpR++RW4BwnFWBZPr
0I7n+l0sNbNPa0kXBDCUfm+tBn4KiJbSwEBR7CktstFvSs/64WJzhEN9pn6/vckuDzBYNoq9UjwO
DoG0hvy7gQecK65G5D9Dr1Trt5WAfDoapASaWSJG5fbJ0ekN5eDVnfvPn1oWEVDJhrPAFvc22ztR
qsoVWIGEapPnn6aeiq6l1+N9mrp7jkEXvCoEyfjIgILo5f/ZV+eztAY8+kgoHSynHO/OQsDnmd7R
+lYKdd8Vk2V0flaPbjhnBiQRK4LmlGvFpwJn34+31/vizuKXsAc8KZFCULN90ZH/cZrSmhzQ4mBx
an35QJc7fSf6GP+q0rR2nvGLz+tBYJO8RCAoxItb3EWRVcYcG/aCR9zSvgeh8SgmzfySz3l5hypB
9Nasx+7H6OjK3b/OE3wxJRSdfIwurbU5yCw2PknZqobtWFvA30iETOScX5w8/p5X+h5K9nJZIfeA
YCBk4friiJ1/4BS5V73OGi0cUJHza1jHJ+w5aEvNNHmmsVF+3p7eZURKNRMCMS8BcuhgsDb3ZOpV
qrCVVQtVCjBvTW/OXsbYTk91Qjzsi2Jq/cizyZOzvPwiknIJetVEre/2z7jgXkgbKBMsA/gNmYBs
r+u4UawSX0Y17PEarD72KEDbz2qTaV+ghQBB82YrmQ9kXIOJEHPlhjgzieaRRuBAnFwY6yfd4dAf
28jQVl9p1dkKcI1pAVwLCDd+X7X2EFSI85boPkdYTVVYWNc4LWRov9+ezOVepUAM/AEGoGxBbfUy
0YAZCquftbAGXy5ALTnORwHE6yVX7OjOUIrsmCKsdSjsZQ8VIiOFv189nEVgnRNj0w4Am7LlHQ4g
BkbcqtYgnw09iGvXfsiaqd4BS2xfHDmKFI/ji4FCuvhYGD/pZpeoa1Bp+vozc9Jv1WIXz0PqKU8U
m2nWJt2e9s/Fg/O/g9LthAsFV3erXz+7JhSEyVyDmDi+pQ8BKreO3PawmLH+QetQTCsaGJABoLD0
tR7AKq+eqJ5NDKxPXTq1OxfD1UUgeCLy5s1FJer8pJqLnSd4iKjgJCruWeePHy7rJcBJuMhKlJNx
agGx7JyUP/XDzSemS4fMO9EquewfKYe/kCpWGXV1FQ1roOAr6UdG6Z2ULvc+VGYd/8paIBtZg7hB
P6nLCaZvRQOwje8LnfwS0SHxDOSrDb0I5LDpVOUduokgs8qh+LLEGGjEhZvsvI8XvlN8OdBynHCu
ZZ7nrVtYVvcLKu/g9TpzcB5tg2Z4jDofWmlKDMnE7hz4F4WnIsuQzGFn5vYBO1fn6OiZ8gHwJAHN
kO0VGi/oCPJXSUwhCDquHS7A8++nKTVFo1iXMMFh/qYX/YQHi5i8T/Nauw91GinqAelVLT4kykgp
0UTZRfHLRh3vF+qetFRI1LFbUhX1RUFg8FNjp8ZbSoPp5FcWcI/w9q2yjSjl7+Vok+WRPhO7by7q
CahPNUy5AEaX9m9R/E4fRtxRDqNt7wWvF4/Cn7FgZKEEIMkIW6ewubCJ0gqgIejuDR90xak+KArg
q7iYxh9trJo+0KyM7d2kR6E4fbiO9p4g7vYllL+BRFPClGSIsSXO2HHPxTWgvlsb6y9FS2n4dXgj
Bx3Y369Wlat721TWIDYHS0ZVlL7kGwQn4HxDdGTOUJ65O411pL3fiyRQKCvc0ffEqQubIswT6ty5
58jppxLArZ8vi2j9xojmd7e/9ZW5S50zSYoDbHcRBUweUpN13K5BSeOFGQ/rIc7M6kFVe4Go5Wrs
pBB/SGbbuaNWTiigwYWgD3o+dwURsYjx1mBA5Ohen8FUP1v10tPvhwg6+m4fgTIslJ4Af6zGzA5i
oOvfRwsaoW/iaoTclZF1CI1EivgxZQp6KNWYIC7qGKtyWrhulBOCIN03DLDNd3GxlGyauBnuLXuw
5p2r+drygRtk81LI5G7eBFGx6D0LJSABsqJS/H6282fhOr0/g4EP1jwy/7FFzlYFaUCHHC4jEdQ2
RmxHrHhQKBdB6+TfR29WQ1wtLYAQbYn4XsElUbTr/e0tcnEdUH8hHLXpWhJ9oxV0/sXaNQYXhkwP
XoKm+2ZaSxiAbh6jKKPvObFevHRyKFkUtujKkO9tQuA2Xuc1UlyG0nvlEd+OGTnySkBcs2xE1mr7
uNb9sLOmV+dHMiXVF6V3mfzzv565CPNo08i96gCQpf1Oazo59J2KPK6UOr+9lBdBE/NDKE+iTcG4
8xnPh+oytv+COtbBqe36S4bObGCngOL2Xu6r4wD5Rxeas0374nycBmcfxHPhbpZRtD5QDKHu4rGw
h3xNow9GlFcBKijNN3sqp5dEEyDXsEcLKrtEHyUaHOvn0E5mmKPMsrMCFwcGE3b4UCCZqR/wVG9i
mU5vZz1CV57qoeG9kvQtR6guAqqnQGoNpaOdcvyVjwuQ2LUxBDLpK255PRPmS3ZaAyRqa8dBEUgD
h4YHTxCv3t7HvTY1Nu2f6XFEt7d6nmYC0BTnBD9uwOgZmM0+TppgqPvi1AhN2VnKa1MjP5fiH1DZ
Abeff2Q9UvPCgrdwGGlLviYlrnWV07RvRsfdK/xuS1w8DRYiK8wJjD094E1R3aVBr5pIqBygISGG
OiMcj+r4YvzgsBiPPS4sz6hYTUrYKlZ2VPNhONw+ONtER/4ApsmVB4kQcN/mYqgHNXKiClt022mX
J3AdykvVle2dNO18XsWSPszIuiW0A5cyvD30ZfgmxyYElmUojtNWOIhcth40G87qnA11fbTNMZtO
8DUwyybyju5aldzrgUoEjd0EnSfnFJnljM0y8Fvzd75WbehoqO4/tWthfmwFpVm/X5XkW4zkIjqm
UG52XqUr1+jZL958rrislLgjtz9gKtO/OraY7uGWZbBeTQCDSEy/Tiah+e11ujYojSYOGikDm1Ie
j7+uUdvB74pcuD5MXpT+Fl2H9paWo7dT9vMLeJ4xjEEsHG8PekFPkRuDbUlbmUsVmszmPkHNgVKg
UtaHpNW85GvqIcgaqP0QZW+sCk1QsKiAuQ5NN5n3RdLn3/rVGtIjJPdleTujl4+w5NDi4WeICpy5
Czns9fZPvLZ1WQ9CHbJ/TunmY9RFBqotIb6Z5tIJce5bju6E3qBG+/v3NAKNV1uzDN2m2LPhvXYh
AYyQKo5SisjavAJalqpmIYoGZzBjQL9QRWWGD2F9cqmE4wXbfv/nmUoDdb6/i7LKBU6kxcirSABD
H/q81Q+9a2b4B9ZRgP2meiyX5FetGtkX1Bj3HAKuTJSOBio/lCGkzsjmJkRjJ80sirGHMsZjTzOH
8n4s8vGgK4p5ijVzTzj9yvNq85LLcAE+Dn+db/XZMduojmIWloBPD0fXqpJ79FZ2tVPkFzoLliFM
Ep6TgNOiAli6GahBHiZyZ7qykSGRrqvI7NM0Rv3j3PUzujWLcmqVJg+ihIaqP1fj8GQvI9z/Ki5t
n0pF4s+anr27/Z2vnHQAETJF5F9s6U36kgkPSb1RQ9YQ8P/zqA95oACNvau6qH8Pztd47LL64+0x
ry050QAMLtlm4bnbLPmaF3qFFwqetn11KOLCfnKUpN2pp11sJEDcZKIIFcgLhQz4fJSsMbW5RKo0
GOMse9a0Q4ZWVCYhyfqkjTsXw5XBkJ9B2w88JJ/4TwX+rwszzSgLKnR2+KxVGgALx142qqGiLqP6
MAJP2nlDr43HDSTl/iF0UVU7n5zT6L2uTo4b1Bi1gyOdvBN9UftJdas2aNN5F/F4sXsBVklmHhsY
LD54p/MBVxoUjr7oDKgr0HmUInF+AjRZ4mOPmSxWxHNXJwdrbVBv1mPkwRJYGHqgwTPwjtSjqS/V
emccFYxpgQBzl4VWOiZViKtr8nsB0unhRRa3x9ZA1Npv0iZ/nNO0mU64o/aer8ROs6eycbH3mROJ
EKIgYK41c9sdMBDhr6qmdAPXUiC/6UD2keuBaXisRKOfNGQtQ8Pa1da7iPUYluCHCgUtJy7IzQ1X
GKPtKiMYDk0YPQjIxcbSbKgM4BT67O0kfBdnTQ6GpJ5F/AFeeHu9lUJFQNxiMFM6l925mYOHRV8t
8Z6y9rWBkAOhwIilGO/45vFuFJL3Vim9YKrAuZqDPb+va6v8dPvquLbv6eRIc2juUZbxfBvOdm2o
hRAAiXVneK/N+LDVY1EHK4Jq90OL9tXt8a58K8iSMPyoHnNXbfPlLhkn2GclnK4qp944Vn39OCB9
rPm1Xnc/bg92ZT9yf7B2f/akt9XxmGEApRk2XehJav2TZojfqzFnvtnk471XFeVjwZbdCS+vLKhU
QtektB2FzW3XQSCQRnJjeUHtThDmFgzjc8CugYJT54910vegxZcFefqdIBbo/9LukKzQ8y+4WDmG
HBR9gxUFKUgxZYntBcl5O5YEeDkS+HGBY8vQ0RBYOqeFmbt6J3vupjukEPdE0a9On2BO/hwu7i0K
BgGjqB71JJKwjfFUTjWkOVnYLRPnC7F8Gt7+whfxI5OXMRyFH5IPCk3nk3dw/CjWhFtUqSJLfyDO
dp5zb54eM+Q0fqzmqt61veHiUqKNxs7Y13YXBEsTc1kZ7mxjVxPBlGFywOBnERbJFvrLj20KC68q
u/51LLP5PUbCyx6h+08L7izsYcowRtlhgKjptG9uu54OAs5oRRRUXWyJN0jS5ONXqEMIbI+1svR1
AHdWoBPgesU7twd2HsyTNvxU1h7n3d5UnAVSIRTNk+sgvBXoS+S+jyJ97oKU7Kc6pQntbd8b4qEN
MGHxygNrC8evjZZE/7GWavIhm4aK8joQkikwJxu5XRNVoGNj1ygBA+jwqje5snSFn60QC8NBd/v0
HaJn012VqvXsd31ZfrQjC/VvYbhRsdMYu3omCLGlih85Ba/R+bYQapT2dbagWtUJG80M1Bp/21Fd
PrRAeQ+9vpbf0LdB02v0mnttzXo/a7z5tVBozfhFLJo9s5ArxwLMAHxtwgsURS6wPqMrsrFf9CCN
qvHz2s62fBKz6U2GsLGUWI7jndrORVWC6tb/AzETisJsPl+CtmraevYyPRiW3gzG1V4CAOPaSZRA
Lf1JGagyZ00LR5MgpKO+l8KrvX04r0yalIMomOgc6+etUXqOtHQ3xa0elKzKXWPEgiH7QvWOSFKP
z2MpoNXcHvLyeQEajxkLx47uJNCI81nX+K/QXG6MoM7q9XE229LH/6KAMzruVX4vZwcwnlIzg+D1
duGGoCf6SGZDo7PIZvIqtRKhM2Y/MjdLj7qW/asAFhcq9HvuOkw/TWLUzTVvK7NqpPwdABtFXWGZ
klPjFvUnoVHw/vdFlLHp/4Jj8SY8X0Qx6V1cN7YeYKLj5f5Sp+OPcaxsJ6RNBYnx9miXG5UkEWET
GoA8F3S0N6M5IiWvSAyCxpwKep0VP+zRw8IhzzT1tKaJ1x+GXIEjrOVN/UMvZmXv0boMtSQ/EcV0
GgjYf27zJ68znTE2Z+C+Tae+WYvVeGXTjDsTvbZhpBkgsGMIHJYu//yvlGa2cDNtCkhH2VKjS2WL
yDjkBvzliqrTx9Xj0r29shcwJblnpKCCIfuUcGA2I6pdi15WWsIeajy3DrVFH4/D2GNJhfj7W+AL
UEYLOy+DtpzazxGNDtKOKvoaF63+9vZvuXYwYUgjkkKvjnRus317MUztMkM6HewEK8a6TO7SwVZP
0nJhZ52vDKWh2URBABIoC75J5RZhGIoDJSWIMq14MTP3lUw8euzj5cPtOf3xHzl/islzZO2TvBGa
6Vb8Azc3zJWyzgycpaveU2prPkTEPw0RgUiRLwIK/RZwgimOeRv3i7+knYM9eQ9tyU/sHoumxKnG
Yzy2te1bNty+QGth6f/7eZbGqkSJFMR1movnG8/VFbUvJtDsNFZb/MiBKIRoT5QzyhF6fdhZFPm2
bheFPUcXg2q4hF6ej5ZZaKIM/WgEJY4kBjoQjTauGDxpa/LezYUJZyKLu69L4dEDQMNn/q90aUiu
Jv9doJpzHe8dA/nBt7+IjYCUH5B3SkabX0T/qlPLLlNxzEuKIwIKxq8Rk40QayTl5wD3sodgUWIL
ARoixeuiUkOxDv3OwsinZ/MrAPRzdROuA3nYyrYk1So1KGN8OeYJIuJCGnmPPFHW+rGnpAlhx1R8
pStb7nTwru1SGQmB2gMgCnV1EwmkKHsqkVOqQVQV84NqDtmbIlO7j9YQiweqoHhplUsdJO1KCFgo
sf5tUtX6rljS6VR1ffEK0qf+Ntdq8WDVVvbf7f1y5e5FF5/dSbmDtHALYHRNBFDLOlcDu8FEykCG
HA2Szk529F0vsRRS9ROUCrkuBExO3vm2FG5UtyLGWaxpdRsVvxmkRDfA6vDjpWnhz5vLh4bMTZf6
EupLtkLpQwI23glNrzwCNKRwAZNapLIefP4zZtucHCftVIKxMvmg52n72dTT9BNiDfabBbzqzua/
tut4bxB+4tnhmd28rpr0U25crEcsyNIvlevEx3Euygfdm5v7wejAbdHnvL/9Ta9uORhsHDqwmigH
yV/191PHbJqVjCmwefK+yz7YQzMX4gNQ7OpUuWuRIlUQRb9tW3RfSvoCJqB+ad5Cfq4+m/FiC3+I
1RKUgDu8m8sag6XbP/HadwDBBkeE3j0YBbkt//qF9Uq7ibcDkyNFjcNRNN5bGHJo7iEw0b5zzLXb
2efXBmTz0fkCIc7duElJ0twbZ5xMtWDS6xg/2Vak73IYewaSlXbaBvo0oUFze5LXzhYIREkVsck7
/jTv/pqk0jtqY7ZCC1Rhrq9YzX3CM3P+enuQK88tIfD/H2RzveRV4jYLfa9AdFCoDhDaVrT0vLgq
UcYclv/LMgKQxeqNTivVxvPvFq0dr36FORXKs0Z5JAkc5yP7X6BJ2NJe65M93f3LEoOs40Bbgz0A
V2tLJlJWU1OqJiUaTvXyvhnxVFzy3gpHvHjuMTf6RcmjeajAd9/9+8LC14C+RIEDTIRc+L++njdk
a+70CLWACIYAauCEOuTd9AyBrt/ZKFfnyDngWZJmkludzQyQhGJz8we9Fy/dV63UovlxyTCUprFc
GehgISMVxgaGVIGuLfG/ukkTqBIvwF4AYgbMe1uFzOq0mBOXZFVH7SqMBfovnbpWb1tkHY63V/Wy
KcpYMFKwcEPWCx/0zY3Y0CursWjSg9W2l+WNPWXz8oJi2xwHqMCwyHiUA2au1LxTnvLFRPu86yuS
2ELoCgh/Q/kRmUIbTs6QjJ8StTP39BavXRUIAtOxpZ9O5r65KgAxpZgnR3g8xdDJGi3FK2RN+kcM
i35Bd1t3AoRrT4SkdiEvosr4aHOkhhHIibVQwkL0Gp5jaXyacHG7i8aiOLlz6xyggA87e/taakKN
kLYHH4I809vMsXKs1Jg0rqZq7cbqs5svyYPZee1yBJjagPvMUE4X06qM/phWivEw9/lc+UoCTNEn
U07q/8O+IBEFZElGT/a7ZX8BPNBqdp8aJMpSKyc1trQhBN7c5l8ANDte2LVOXxyHxljnUxKnEOCI
6jOWZyrML5lW6hO5OfhoX13w+AH2rsV7m/fKhc49wCuCPwt0ny1vddCVkmy5VynjtbhFpJGOMbYr
wttHRF4sm0iV/zsSo6ga4O6+dbalrTpO2Lhj5Ekycb/Uq/WpHMd3atYqp38diYuVHSC7/1hAbV9h
z4u6bogbG92AuTylsYsEEYXy71k7Va+3h7rc5QxFT4rPKEfcvoUJAAajN3o7KB0efDdV1JDNhBWD
Av1AKNocLpZYdlby6qAgA2WfDwDdVkWhXU0HkiQuczxLAwUMm0I8NQA39FCwfkxLc7n3WnVPlvTy
/iBwoY4BkoxXkivu/OEosKcx9NbB2y6Ff8objBjUolonlMbKk1PjiHd7aa/E1hBR6fRLgKAmOzvn
A6KJM4859Z2gE2L9mJQNTXbAXsUrfOP+CII4etJQ9jtmnW48RYsjPvS12HsuL7grEjtIPVxa8sgi
4DbPSfCOnNGis4mwGs3JUfCRejhxtkyIEsDsbn1NH4yHeHSWb0Od6C/FKjWDrAgeka9ndvtbrW33
m1VlzfBklXP7GeUEBDUTaxG130/K8qtt3dYLvcJ0H1LT6owHKCbKx9urKRfr/PQxDSqmLCeg2YtO
tJYIczBQ9AkcrZ3Vk11qqYv/n15Tk0/w2wPpvSzhyBWWH/PRSOugpkZh3t/+FZc3DeUCeo+UNhBG
RrTl/JN2ut2rkQFHUM86iJNWlr7rkfvYiTsubxqZD8Npl+A5yhObUVYsJhtldc1AXWatft9OTaEc
TGne3Kyk0TuPztXRqIKRdUlVGGuzTXEvHfPY9szAw6u0e6BzNGdPq44OW+DYPXqEt5fw2nAUoRA7
QK5VylmdLyFKY5LUhXPIOqTuN9vNquMYJemXWt/1kLjytVDuli7MULW5RzclrwEnOWlo4ZBEd8lP
DYGwT02c7sQJV64VKQ9O0M3GoM++uVYAH7ugKhlkVRvFwH2hzkOKegkEn6Vb7fsSNYlvt5fw2s1y
NqYMXP+OgXWAIO5UOThywKEC1ZAcESdawgGy/Xsqm/HrKjQ3w3FyXk7Zkqhvpn6ZP9/+FVc+5NmP
2OwbK+pWcxKcSIEo5THHZRZr9aZDti/ek2K/NhSC9/RPgTOQmW6GAjvYl9QU3QD+SqejPLNGD8ra
ckEpy7pXG5D/s81NA/4Z+B0Rj8wRN4vb0DRsvKIBN6FMhXFqksJ4a1r9apw8rWzzg5fqKMjaQ77O
d7o9Q6gFVhuV/9yyoTKnAUMmLwZPYW62lRrFZkdfmr2b9/YviJ7ld5L2ZfIzQ5/3MuJre5gDQvoN
Zpe6yGawibZ9BZWCwQqEB6fVqJ61mag3ydU+0F0x7vBlr31PHPYYi7SUZ2mzxGacptmkZQ7QFEfR
DqgauLOvpWoaAQGc6u+3N+qfItb2izp0GSlwka+CHjk/LoilAc4fOaKk6/zTnOdxCNohHcFoFYX+
mq6pMH3uK6x2YNNUp6kzKL1UADCLYUreKdE8HW7/pmsrgOMjcSTEBXhe8ov8dYJXVNjiBJ1fSDzm
+LGMuyloaKZDy7a00+2hrt2CyBGx1Oxm09vSpVzE+dOCGmiQZnP3LaOq/tCgoJbs3OtyETeLTNlf
tlfJIsHVbhY5cgS+lRXImMSy8NzGMln9haIvYpaDYhh+p5Tqtwy/75238sppBYAHbIEUTdbUNs+J
WRuiJAxwg7kx3QrRiKQNE+JKM8QNb419IWxcZHS1iT8M3VJg4j0PjrbzI64FWVwXHow9uNiSiH3+
Odt1qUdkt7ygiTIHce5J0dZD5wAb9ptxVd4nSlmmwWI7MbbNIFNiZO6tdT5Y6ZB+UOd1/U8URf0V
jC0LONoaXtDm6DixjyOv0Qeu2kMwc0TW3CttMgNbMRrseLMOiOe/H02LgFVK8EgrzG1XRElTo59a
qfyzGN6B9j9eD4W6/rKzVtspPl+eAbxDGAnIBi1O4qnzRetnY6mnaEgOdAaGRydFhQbp1oKnJKl2
NuflBcdQLjcbZHkHguJmc2qDkzci7kAOTmN7ym0p1uwa1SkXuBeD1NgDwVyeOaqoMtimWgosdAvA
Ucip8EfKlKDyUGuMMav33THbAzldLqD02pQGtqSJyHjIX/HXJdKuaVX0AyQRBVVXSsU5Lz4lqmej
Gbx/3hYMRRUAHr5MobYANW+ZXGzQFhqjNYiWrhlHQCxSocQ16vD2fXV1VnIglg+sxhaeH00GBuKe
gOYU2VFYlHUbIJanHvUGabPbQ11uCxTt/uS9sJ7ogxjnC5iN0CqzJFcCXS9Q1Ms8SxxTJRIglpyX
UjV/3x7uQhabtFMFKEywSH0datHmmlARUkW9DJjfmnOd+LRVUEoeIvxY8RBAoBKNd3WQbcEE+i/k
tc4b/WGw1K8uQtC4mziGGHyv76wW8lM2zs8zntf6CR003HD8tW6xnNn5yZddQroAJF405mWvcFug
jwgkRxoiSrBEtf1qd8vymtfp4rcjhoT8tOkQe059Z2fGg44Y61OcIph8+zdcXvGSIoAGEe8XaewW
UZYIazapLqF6OtsYU9YSoZ60eph1ZU0ZrNHvHa7dIzK/2WPRQ6a6PfyVtg3jU1pi/sRHIJPPd4mT
YGYPDBSR/tyVEDDYOUGGLP4v3VCwfEAzuvfLOKu/JkLr3ifmmoaUdadfeAp0oNyN8WShSRvWxTRF
x8zDSO/2D7x8efl9gG1QkCNvvOhk/inJZaqj0MPz3KOZRzl5gZZgDpSMJ8QmxEHry25nUBminT/3
9M40JIn5LByhbceuSPsOs3Ak2smyrM9RU9e8T9100BtnOAjVXu/HNBVBpkzJDuD+2v0gtStQV6RR
Rch6/jlayMDgNQvkYjUNZYNMdw5eGbkP/8PZee3IjVxh+IkIMIdbkh0ma5SlG2LlXTHnzKf3V3Ol
ZhNNjGAvbEBYVVexwgl/0Ixir3iyMZRoTBOoorsldt/lUFKkxsWss7KQnInVrDEFqjWV4+SPZZPv
7bONo8ZgRGiwMPG0cVb7DIfmmH94NELVmu0fcVV2Pm3K3pf7WU4OmZqFv1HNcYLjqKNNBSPccNxo
KvYkm7ZmLYQIYTMwe277y1k7ypLibAbPFBu6OPQcZVJwg4wC66G1jfx0e/NuDcbmpZWEiA1Z+mqw
srWUoO/z0Hey3sLKT8Ynxx3wVwWNh7D1HuphazhxlXGWBT513VIZSlWuywa2Ru2MQGGkrPyey0By
Eanovr1/ZtwZBPeU3YhxVkkOJdw+dAC+eJJOzprpVn5O2hgLjgnV978Yivaf0LoSCGP18osF7Vih
cKUFXjglDlYTixZ6bTLk/0mJufdmbq0g/Re86hE6YhHFn/8RdEBq73JMYQNP18Oh9wsI5c0JWWVs
EXM7796fKFGpBcmMQBsgNPbJ5XCpVvPBRinwVIzTniJzTL0yw/OAyFgLd5Zx631WAaIKvB4lKlhD
l4PFKqI8fRsHXqJTyXjgPey+BoYpfdIqpfi9BGndothT68+kqhaVcjRmMXBT7ApFm2X6X49eesAN
GE4YOBBMYBJjaulLj/HFv7c/+OYvFdxkG6Etbn19dWywU5sjFEjEsckrdAwyGy62FFTdIakt/SMR
XK+44RJVL1UtR7M/o8J4kHplcOOg7Z+NGGXLGNNnbmhsCw94Py5nizLGHqBg4+3mWPMfYHPI/qwJ
S2GLylkxGwRzoSUdWie1HuE/OIhljNqB8qfuoyWIv3M9tIabtZBGbi/URoQH/xbhNQ48K7WmAYRx
Pjp6AqCvaPP+2PTSAPKdZzGYpmdoI+/V4yLAA43KswTXD27hOs9ojJm6rcPViUXxvYpWlIcpOCFS
m40nZXq/KIgYTgyELwDjrh/hfJHVdpRxHky6Lj421M8OcB6iO2fCMKXW0qrAesXoPy9DVn0LLae4
i9rBvGuGxdrJD8QxXIUDgCoRBaY8DuLvCleNdkCP/rTkaYO63Au/WxRq9fZ8+2tu7CaSfO5tQmcO
6lqjgNhHcsJAjfwe28RzukThBykZHaQo88rLAQoeO360O3cohsVK/16jGL4uMpxEPOKtokW+uh4K
TeptbQZ0g+GgcswR/8dSWkFRrol036gN2bWRHNkJCzbuW7hb9LvfYGpM+/JO6pRJqPqQutZKYB1A
h6Y+/nTWIRj377+NCAQxAiqfYBQ5LetSUcMl7nASI19ZmiX2wH6YX/V6nO4bXY4OqpNOj/oULy4y
xZQFxhRaQxfGe3oPGzMm4zdJnW0CS0qglzOOW6dGsc8M/XgZlVNXElBSOMl+9QRqeze+yPBW+1YX
qhpAWOj1y2s16xgLKIuOfgQnLivvKvrInxtT6k5FnGbnIW/r71naOeJhLbAmh8B7pzcVTJHMCP7p
ayjRUwfdZCfh2bi04LIInIP4SRTTLhegAeSgawkACsmJf2st6BItjOyDmQ/JqXTaaeeO3Fpv8hsy
U0qysEJWAfVS6yAgKxUDiKmg9TtihcT9XEOCiWiN/sXcKHmCvKLuS3NmNRg11Rbx+J7BylYmc52c
RydL7LuygF/rNVq37Ay4lb5RHQFhbtDj4m5abSdgNVJuoOjhj1qknIZOs04WrFY/MIITJicvYGBN
YSqU3YUEIG6F0edL2wyK3yLLdp9oaFUOYYV436j/uH2dbS08eQykJXqahKSrRzzBuHS2Uy32S7m0
j8lifmvQZPPbPgh3PrGY43qbo1dMtIbTFQB2cQz+CNqoKsqLZXCJUJN+MaMu/9VhrEtBoewenUIx
Xw0Ltr9jSdmHd0+RBgYVMGg+fPX1WQ4kUw+CoAh9qUAWb5oWlPrbGNa9NvxFpAiKHpAKzVlBjl6t
JrAjp++qOvTLoVhOBubsD2YEcSltiz3xgI3XjvqUxtF8a/utq/dzgBp/LmZlh0rwpEWh9lSWS/T+
1Ai9biGZSPkFYOxqQrCDoqw25tAv4iHE/KbpnfqQjNjPt7G81yXYuHM4lnx+VpAuwTr01YYOlE5M
5ELl2nh08oEXbS6m2I1rZ2j8QNK7nd2/NSIxgzCIFcz5NWU4LaZcLTSu+bkug5NVLbUPnfF3ZGrh
A7ihPdrH1nAkfahqCKcZ3IIvj0ATystQW0bot3Ut+V2t6Afuoc6Nlsj+krZ2/BdfT2QRqB5Ah4L0
cDnegphP0JZ66JsjUW4aUIExZxzrsRb6i6QWFCampzKBICn7aqMUNR6Ggy5sgepq8eOgbDwrj43X
gMfp/dEIe+TNypYrC0rv5ayspYNyVWgZ8sXq4oZBL53lEP+HCOue99d5KC8xmHCRAWuxGqqOY8cq
Fj3z57FuXzQ1N+8xfB8fk0Uad96IjYuYtoBJUgsdgLdp9UTktZ2DrY9TX40qdAPSDgkmvW6K2k2H
YdpZQvG7V3exYFwIe1z4B1dIS23o7cWiMeanhlx/BdVSP7Thrr6JeEevRkG/iqo2wipXPDxATTSk
4ib1WwiepzmxscuokbMaFxtDPljlrtUoKLGmU/4paqz3GqQRKkP+ExQ2sfeVtS9bzeesnGRM/dmM
xhOo1dc+iPPPCIB2d+WUBDt75VrFE/UBquq6xXAkfGsA9EQvItOUOvHTvCG4MLtApzZsBqM/BU7+
1FFPPEtdYR16Pa5fwBAWn1oAeI9hoeuxV+a19o9ujPH/br9+G5+aah6+TgAlKOitXz+lUJ1Gy8vE
X+JBBpMoQS+J0j0qy8bjzjaiuw2MHpGJdcsumAmieixL+NQz8FCg+9juqSQl6FssqXmaRst8MEci
Gnuy6r1C8MbZoY7GZUBqRDV4HVrACJmBSKSZn2Vz8l9hSeFjONbmfWwXOwW1rXnSMgd1RSEBSZLV
Naf21lDwoUFgFI15T16S3hELyAdq9tphRK//MTC65EQQoJ9vf8eNt4P3l76NQrkFAJpYgz/Cp76N
5MpImCN9zPh3ZxjtYZy1AY9ho27PfT7uIcC2pkrFmfIOM4BML/78jwG7aDHhHYFwTnt5ONL3Hdw2
iaHHRRmOikltvwbDUrkqWtevfzFVOGoKUSlwpjXmnWQnRomHRdYRiXCRsR6/tPb8c5an6WQXjnV3
e7it3UPZgC4wubXgEqwmOgP50ZMJeYDBKL5PjRF6lJuxxoo69fftobY+onDrJtQQEc5aRbQqkAss
Fjnz1bEw4ZgVyj9Fl+UfBoUOqmZmzg5K6/rwU2WjPAOxioI+D9jl1OJmadohlbBejZfUw1mnfG6H
ZU/d83oBL0dZhRk42aVFmaFG0KiZ8mUoCmprStF9mEZaBu9dQK4YUG68KHwo0uXLCSlSM7dRtgjY
aGR9Qqn1p7SU5tkBtf6QFcMeXvf6BRPdehovZG+AhNelQ300lDqVw8K3hVFGSZLauikktWd5WhqU
X/Atdo1R5G4TdrQ8Z2nc7MQF11uGn+BQG6CPD7DyDYf3xzGsAix/ZASBfBBuduurhV59Nqa2vw80
RzplKNS8W6ARixwhmiF6L1A+1lHqUOj0WWxGlOmmHdIqVk6LHTk0oPQ9KYStncNgmLPS+AaCISb/
x+RavWqo79SFj/hMR5+ZfsUTzLumd7PAcHawHluHAbUDkcwgtE3idDkYSLDODp0RQUQdwiv9oMLF
9jneCwPEE3AZ9YgZiTiO24u23eo0pEgpot2D2ldctzq1KXNwM3MwaU8vqp9ok3OcZzU7VGo3n+wo
oNsfqMF/t4/J9d3NK0AfDwADhcor3SXZSiO7tNXcH8rBcbWRTKoACnKHKX3iBfo037HpZ1+e82Gn
CLu1XYUiNsEVSQcQnstFxjd+sYKKu6BL7fnZSObfmaEOuYvMqOlhfDIebs9UpEzr1UYHQUjs8PgD
rrscL8nAKIcy48nW8u+oLHrvlsVYPE5RZ3kIMVduH3XRDlV0a3kFBuXN7A7a8mrQEnGSOuviwnd0
ukJtQDiFJAKCK7mRPvW9kp7S2Im/KlIfvr/+ayEaIHSGUYUS5djL+RZx1dEiQhhWqvrI06SifZ4j
vIE6lKL8rDBKzzSTeSdN3uAE8RjTaacbwpaiHno5qlTYlTk4iGRSnEUxqXCkTPfizNR+ckWE3SEE
QFLcSSiHdm5jBVgJ4cjbgEcehNhqO6p74CaxjVafHTgIRmmCoQzgb70MBIF9IqPltxiN4taptdwj
q492ldoFv2/vsM3JOzq9P4QaYN6sIdxGFbaGjq+Jn6Xm6FdJnlZuhHBB5RLJ8qAa8fBYjtHyDcQ5
URgJ4/A6G2F/qvXE8XZ+zMbtIno7vHwO3Qc8Ry+/xJx2OWU0tKxzK0JAsVvyH4P4FZMSxGcbQ3ui
bju/M1Ag8UtHTY+Nqe+xSjYuUpHhAE+myCXipsvfoHQBkuUSvwG0wIghwoAbc1ue3z9T/JMY6M3D
Fem6y1G4LXMpSEnzQ4I/+amOjPFJt2cH3YImZZ2Jk6PSNQhEm0fJjKOvQZY0I9IrOnnm7d+yEQbQ
ahZ+Hiw8XIjVok+JNGMUHab+orTVfT+q9jlV8vG+KIGISVqg3ZfdkHkoPfRfJrjKO9fN9WYHmUhD
mIYIIQDlnMuVmGNdqasBOatlzsFCYwnoTZoUuUMvNf7tmV5fp2+kEjovOEShPCf+/M8HOeurKcbh
1gPJ58DkVaqvQ5XOflBP+Z2Ea8s3fTLl7P27mnoOChgQoUnZ+b+Xw3Zlo0yYNjj4pXTquYXb46cQ
0p8gb40+3qpcbYupfoJfcZ5Hu3xQpjbf+Q1X35iFNUVbjZcTMMibuNcfM5eyts06TRm9WYmBlaUx
oFD0AMoMvtQgWa5iL8bHqJzjjkJ9MxUHyq/Z3TtXn99Am5rWJWkICe3qQ48S8AoVbA8SBEZ4n85d
ebL0OjlEiWS9jn3muM68a6Z69WK/DUpfFvEDITO4Sn9ape3CoaoQMpTKCq2TqD8Hld4f2jn/JoXB
cLo9x+syiRhPKO1AKwRVsQ7hYWgPGtLOI8KaufO1zMzqvnGi9r5altnXUIM6d4453hMwWB+aPgle
8UE1zn3n9I/lJGs/67CbjZ2Pf/Wgi3oiwDpa9CJuWYMiuU5S1BYbYVou2ceirFQ3CovO05tscg0n
Hb3UQpRMHbBhvb0cV2dbjIz8w1t9hmB9tfMNXD+dHoSA12VOeKibuvGhzyfebDV7GMbNSYoCrfDk
EWNeHrKcDrGOud7gWWYjPSO/KLuQeZVzkyfVcXQc6diodePKdHt3YuLNkRlS5PNE+WvhGcdcCsmp
mKRtDND2mqlWngpQY79mdSlPpWI3r5hYNgE+67K2E/VvLbD4tmAU6OfyllzOWm2rrjFLxiZ+GRqv
jDXtf/2c0L0udSfd6/Rd3Z8kpTwQOIVB2gGcuDrBSCtMRTvBpLDzKj8tQwQQM8ZY99M4tuOp1PL6
1Zp7TDJv76LNYYlNyDxo01/JaaIhrznNlA5QaPPlFGijeVaLCTPXZIkPzptRSx43O1t346si7IgO
MGgEYFjrGxP8NYmkiYhhmzYJdstN7+Mir7k1tCxYBUPwr2aN4V23JMPx9nQ3vik0EvRs35Ra4IVf
flNa5MoAgwAd20Iu7mD8py+2Nmb/KZWi7mzdjduRWi7vIewV0SFaHZp0rrWOaHfwCAHRphmwXcJm
o2ofs17Tn4oybL7cntvWp0Qul8Iv8a0Atl7OTVVD9HDaesANM9IPYTJnd5nmoKchF80hbgIUA6e4
eC/Ti237hnagBMYNsb6TuY9tBRj/ABIrmo4BMnP3Y9WGDzC+o7/4dnRiYemgMUvzZlXBkVlOk4M4
eA0yqKc4aeQne2xyL7b74MftpXxbq4ssQUwLOplJpZZW6boq3bUG5g5WOHhSovQvvZQmoGZ5UwwP
UqsTuQgrxs1x1pXedGvJCX444ZB+zHQnGN0kTHoYaHUKDSXQ1NlHZDP7oEmqZHjFKEfWfZe1luNL
WaB/dwjJn5IiC3/WaP7jANjRZXBnysDvBpNRjyUI5cTB9+ShWl1nStpWcjQ4XKV9oj/2WteeWmdI
D63itA/Awve69m8WFas1FJLKYlOIk77GWprKHC5aTcjZgKawsQbBO/4/imaZ4SZZMIb3SzemPyxW
cjkPRZ7nr0k9Z6NP8RRRzd4K4g/2EOSOa6gF0h6UYLv525RNEzoWBlLG7tIvw6dsUMadqHnj5IIj
ERxKzi838WqlaMNmZhRIk0fCBuccJ7rw36Y3apwpYycKXbQ8YmsnUbjKjPg67Gtq9OSKxOziN/0R
RCr4jTVjq2CZVs3Va+g4vzq1VHe29dYgWLlSkRcKAtRaLgfJ2yVWulYlZIiy3o0K3YQMU6SH24dn
4x6i6gm+DSQDoKY10GypKjuWO4lYVBmWM590uNOXTqgHhPN5ydEwTyPH2XlSNi52jQYO5UDh1ks6
cDm1RJ87J1+Iw9KmKX4P8xItx0CyNPoNKMDtBH1bMwREh7YN+4Tod1XFkYel1ZKQiL+qYmzT8lmv
XjuE5741SD+ie5E0R7sJzdfb67rxalJPBtNOQxnF0DXaK2lHZSyhk3hTKXedFxZm/JrMyD8OmPMi
cZYZ6aOsp/FT1o3SzjfdWl5QfMAXIfRS4VttT9B6sVI4XB6iK3jom1kOT/Q82kUQAqVx51HZ2qds
UMGyB8d/Rc8oZGcCsxRNnlUU5g++uaq6cmLuVRy3JiWcZ2HGAO+FnX25ZxbHqRuDfryHG96M2XLV
PgxTpd0jtoGk4+2PtzWWkH236PFS21w36SdeZ3nugTn31Lh8I5oId1pFbh6TtGn/4iwIdXkeLmId
ay3dUSAZCa4RA4JGQT08YHt4M53e+1lWkp2TsPGlSMe4tOneCuzl6tj14zKiQ8pJ0GQEyNtKDx7S
oql29sPGhUwBEUcQ+HQCdid+xR+Xo6YXnZbPI7uvjuhkjJVi0T00utw1hqis7+fMNHeC/+vaHU59
4IGJUFEwpBa+egQondQ8SfaAzloVSwdOt/wflCn9CR2n+TdefuArlKStQFk4Uy77aRzmJ7mWWhU2
XInY1Lv3j8h+IZqIm5XA8nIJojwEaFUkXN2UUdxkmi2wAX15GtFD2Zn6xlYFucXLR9JFYXxNSk7G
SU2ocwxY+pbmyWg780tfJxpUuTTbGWrjSjOo0ul0NjnsQC4uZ2VSduubHksiIPz60enzfzvFGJ8l
S51ejCWVz3aNbwEau9qHdy8nHWohGIKloJDzuBw47ljGQGOOhjFHz2FWaYQT8Vhlrpxr847IxtaC
ks8IRXkeDZQJLwfrLWjJ/YzUQmG16Zc0gfwsS5rxCEw3ubs9r42TInTtCFopy4BPWw2l14ZZyRgS
wNGUxue5VdTjG3q0ZYf7WjPu4dI2XkLGs0TDCmFY0KCXU0sdtXUqxUDjtuiHY0iFzJWG+oupRNrZ
ypzprpB3fbfEyVvFlVxrfDvCJUwT18BTU5IRMI2H3psNPc3dkB5h6+qzYz6HaHpUbqkN+beMf9d0
w6ouP6t2Wu75Nm58UqptQEc4KZA6LbGx/7iReidQoO6xzqGR5v+LdCn9OMvO/GTaXbwXuG+tMUUv
epz0VpF/Wq2x2Rh2HOoReR0G5ne9NhkHKFLDU4Irty/E5gB0Z3t64VuL/Oegq43UKYmyhCYJUGUW
OIYt1nyXLSEs4yi1cC1P4gfJLP7NSX6F2ttfvGA0Qum30rlGmOYqlU1lo43E6Ij76H45KtURur2E
U2zRHm+fmK0vCeuDrgRZM0/L6ks2ehhSS2J1p2iYz0pB3pXBQvG7xFR2hnoj0Kx3rlDTomcNR+Aq
4MDzp2g61Ac9azDbw9JUycMiqclDo0Tpz9JCu8B1krr+WPeqZyT9ua9ys3ZzvYnhMGTGSQTvRNCL
+S9OCEtCzt0b/0Q9mqq310R83PXvhIonGEeCz2mu3j57WlQTGDfad3Mh/WtN0aS6uALXH9sK+jfa
I8qn2wNufATYElxZfAiWZh1GgBkvujThOMFMw6rSztqnnJry0WrC5dtfDAW3SUCTaMmsDQy0kXpf
M8g9itWN9FErUnBQ6Zxzb9WDtpNIbjxvPC4g91lFAqR1yk27oM4LY+692kZ/WtJoOLac8899kUgo
YhbVuQJM6TYTBn23Z7kRlzEyUZlQ4aF+uYrL1Lml4G1MvZdppnTG/tT0HAgEO/vkWsoJUAQ1BQH3
cATrV1xdf1yDdUWmsehsaClX83uzST9YVj0eRjuUDnooBR/HwUncSYbvFFY6Uo9WsefdtLl1hEeV
UNcUFdTLn+DMmt6yELwGMqdWD23dl2xSXHCDs397UTeHEjV+JDUgcK+tsNpQhiaV2OxSZ7bPuAmk
aHimypFb5d3gBLGwtOlhEQkB7TWSxpbDLFpoCnpOZQWHeKBc1EVqeAqjrvc68mekxcs9Ks01L/Nt
VIDRiBsKh8nVrlkiU86jQuu9AS3145Jb6QHZweXZRo3uTPPYmo9VqdfH1E407BXLrASMGwyPgZyN
R01NxtMgjSjzWWEfHTJwHH4BumBPWHbjPRSBueg48T8crMsvXjd2mISZwqlqw+Glj+eEZ6J07uEF
Jp8QYnR8k07j+fa333gP6fKRUBHBcZ7WaBEdnQSgVGyzpp+GO/gmzY80WeYneVmS09DnqeGqQR88
Jg0yAlLUq3s+4luz5pQJ1LpGnXP9Tk1JR1knIurRpMk+Za09PTQhOV6ox71fS3htLKqU7WBytq4R
sQ9QKqAmxV68XOq4U1u1pDzvDUZpP4X4lbh9OO65hWydK3ruVIvETUJ98nKUSVcrhMO5rPS6bg9K
VRT/q/P2vyCpu51E8lpMS6C4yDboeAiFljUAoQ/YMxDzeq9qA9tFXFJ6qYruu2l2xbMqhQW9S131
5VCa0XotwOzLZYsrfK0/Fmke/bi9pzbnLTCColBG/2UVepTDGA2pKp4HI+iOWif9QnV2+EwDpNzp
RWxsHp4gA6UNKq2AkFdHpmhTldg86LzUKeXQbYteuivUpNVdNMyXl7gptVdMLvbAZBsTFCh6aoB4
3CCGs5rgkjj9UC51702U534qQW27k9GZL1M+7bLft6aIpjyIVerNiBasYpYIWf+Ae5jMp5f1Y1VF
0xfETChMqKPZC5Kr5Vt10Qbu2LUdxlcoHx7T2KrvwJ8XJ0cv58m1iyTRD4PeO3dOTAfKD6VSOoxG
Pf3FlgdeB21OYOvJ3MVs/ng4q0xpqnh0MEOOKMJmThT7WRIkj+bQ7HGjtj6Czn1BleutSS/+/I+h
Jmkue6muWJga0lw8VcGvqK/iB9MqrZ1ttnFdiBxXRARs6iv5rSaOpTxkOLomrJjTmvlBCTr18+1j
sxGdAnUQCsOA2YHviT//Y0L1POKM2WMk3cnqjNjvmDuPGbD5H9XU2c+JlDa/bw+4tYIkX4JhRtAE
s/hyQH02mnEuNU4PunBnXe8+K5KE103c7kmxbU6NCiF8HuydKbKsRoqyqq5HRkJfjeAQ8poXhwF6
RZk83fVJEe28altVLhEdijiYigHODpcDzpEeqlbNWtJhCQA8ytG3CQXLe00fcG5ogNYccHaQv8u9
oT2mfSA9S7y+5yGte/n9FS5if4JVQS8iHVt91rYemwFPR7QNx6Z+yYJc82uc7CPX7JM9P+OtL2qD
zSY2h5OBIP/ltAHNa6S0rHOVh1HuoT1g3LclwomuJqXTx9vbZ+tmokZAzR7QCnj3VZFrkppMWmhe
eSVCUD/itE+/14BSXks4W50/mstcuCpduJ3XZeswOgoK8KJsAANz9Wl1q+VvNvTOy6cAH9kuDY5S
X8rH25PbiIuEKRvQF6ZHd2B1NrS4t8y4YZTE6UY/GBPZhc4HEXnODQ+CafoYdFn8OJa4UwfGsFeH
2R6exgTZO23GdfQvhZMUIO3FXZDDjC4mo4L0NmsHbem6u8XqlvvO0LqTMzkSfVo92Dk/158WUCen
hkAdkN2VkEkzTnXS6cAJUmVZfkxDZh8C1PoSv5wcKsN5YI2SO5SWvHMFXu9fsh3+SzmYqAw87+X+
LWyzLIsoGj1MdijRzLn8oTWbl8bgqN7+vm8R0WUtgIYhp5IECyQhlb7LoWYpm7SkpT6CZW1jHEZU
LD4oMXarbjQ36Q+5MdVToFrSz2lJihfamOq9EyfRg6iBf6+UQXpE+tb+VMjBntTe1uLTekB+lHRM
1McufxkYkkJLraCnVBLA9mllDJca7J5LHKjaCINI23DjdtlDfF1vOQ4zpVUBteMGWRvQdphbWzqe
X57jpHntlos9A1JvzfYHmEPF9JBZSE7aUA0/owWtzGOqLZhR3f4q1+8EvwG5KQpk3JZXDbIlbysL
NtzgReVQn1o5G57jsKu+qjSuP9OnebeMhyhy8u9BzwN3BwX/cqkXKypVO6bMO+aUnTA4Sv2owdkM
ZIu5c6Q2tjYzAt8B6ovdtkbo9KglW03G353xHHt1NITgWWwTqaZijyCzORTiaPDuye2o0F/OSkq6
wqx1SkGyEz2XtnBUyh2leDDVfteOcHMsrinwQOgRE7pcjqUOVhYWFak1lRKleZiMsXLOZYqpvewU
89d3bw+YuYJRCgiafu3qZESRE8uDw2BVjQdCEOnPibYEsR+NVu4r85juUZCv3xrU9ChnEWTi08lj
cDk7XoFYw4yYwiYAjmdYjiC8K26C29PaOPBiwws9AbqagDMuR9GbVDK6iXRiRhR48iMb3Qu3iur0
PE+W8zk2G/WQVEG51+7fnJ0JpoH4hJj9qtgfquaMkTUXTSDZo+fEZXwCwyHvwSy39ghXLCU7LjXw
juJ3/BHYyj10HCrHFHi0BhRtC4g3R/bDiym9+beXcnMo8beh6Sniv9VQaZUFyUhXytMqOfSIkpT7
fBj+p/eFvVMD3agRolVHl4SEm5NGwH45Kwl9CFFE5LKw29pr9Lb8tywW289qPb0rF8l81Dv9YziM
yq8kjpdvOCPtkfG2PiBBCmcC1Qvu59VsUcU2OgelPi+CReWF5rIcUepOdtZ042GgxUcHwUJ7jcbU
6ojjiJaXTZaD4JyjhWdgDO4GY84PWmn3T13ttJj1ddRhUe0+1Zqz5zC09UlBjtIaBoNOeXsV72lV
o0XGQLOmX+LkOElp7aMLQGvVnLrD+3cPwE1A8yL24Am6/KRtNEl2XpSYUBeJ4bX1nPiDgd3fpNfv
phTytxN90AeChs59tvp0YUfnuZYB/aG63v6Sh7b64kRJfhcBDdvZqRsLyO6A9KZj6wJdaXW95HOn
F9JS0WcjC/H1PKoP0mSNbj62zvvfb1TWTIJz1Ee501ZbZZSDAXkUqonywgsQq92AvrbQv7Wpt4Ve
lWIic/uTbVS+BO0HtRIE1wA2rvEMTW5kgyze1SLB1szNs6U0PvTSOCqHsp3q/5mdHneAx/vCgPaX
WK91binQK9vAeplSbEMOoVko/T87P2vjaAJWhYHnCF48zYrLrZRMRiiZNrdDVkz1URrNtD723Ygr
G5dG9Z9pACfxICBG6tc2Gs2nFEum3kuyqHjWExwOHicjsmgOZrn8qdOmtNoJRzYOtaibIApPj4N4
ZHWqEMqZDDlOqJ4AhvZNCkQeuvD6wanTl7jGZZFnSjkPc91TANf0nQbL1pZUVR3LJiq/GhDby9Up
LYOM3GTCVYT3LDh06SEOlV9ybyo7ld6tkTSBdAFuBaXAWZ2zxMlCqSZJY+9hF1+WlD1B3USesUzj
zj258YyLZJFlFdxdABGXk9KItiKEnggmo3p+qJpwJoxtbKAXsRaeanXGebumin57p4m/dZXH4L6j
87jy4JEzrGIii6JqC8FtQI0sHr1RnbIfplEWO4CWje3CKJbABHIxQtC4nBv2REoy6ABaFAxy/Xzp
1IeoTbV/nCSxjlKnR0dEq0w/dkLVLeVW/3h7km8YwPUsFYebBTSGqMOtNkw8OHoGqX7wugEH7LMa
QMjxtDkIZoh2ShR4QQ0x5mD1laQfgqjsJhfXifa/BGYvfNte/lkXUX0q8SA6DkEQ3Y0ov35ppTQ2
D2E66u1RGyNVcuMsaqkPjVyjh7hszeo4Uw2DR2hkY3ZvGVJxyLTQKXfmd52NEkIIjLsoN1BOWZcb
Uty+OpPICBsz52tcDScnMEUDV6SjjuTQmcoxiZpn6Eg5SCxFXHXo5X/PY/O16NC/M7rX20t+tZvF
jkJV7Y3nTzC1ejUSY0hjWoaUksLZeOhQg0pdubblh5C609HqbKjUBHx7GhviQ1586LdhaYERzVBc
X0uDVhY+ZBkPhxfOjkNu7rRHvQXougSzBSA0bXfej6v74e3gACZhLGAS60ObU7aq0DKnYF1bzqmq
h/GcBX3udbY67YT5W0NBVxMCIjYx9xr8QXKbAEynWSGsm/3O0BuSiX7Ge1rZQ12L23u9ikAB6OuR
AAoQ6OVx7QvVaON8gK5lN0EJVavT/8lTJfgGKbP18cpEVTFJpud+XvSdaGNzaNRPBcQFKMK6da4Z
Y5nI+sgHXMwI3VtVd+0qGU72NIaPk5Cuzusmc9upercfEZ8Sgj3/UPVl3qs7KpVaTE5aEMQJxDm3
y9QFbXBzPARZsyftvLVLVZCh8DNREIJ7frm+qdYYieHMHa6XbeZSSJz9yUGCMzeMzF8GU93p722O
R0nXZDSC8HVHjUokH5k2gCfLknzIE7Dtta5jhGNjtUmTb4/OvzkeGSFrCUeE++hyfkRcyTQusbB4
T8ePXV87PqzI8q4xQwAmzbznBHLdoefbaRaoHJA55DPrBVWlsqYcnhMBdahrHGUJU5pjJMFp8rTe
Ml7yxMxtX3OsnnfHkcKXUta78YMc9Qvrn0Tj6BatVtiunfY2FggFVE3+UP0E/954d0Yifixi92+m
vuTDq9Uh95wUdCrom/DcH5zJTp6DmKyZxDb7fvsWvs4yGQvgEAk66t4kmquTHI5xkS+VROdEkqXv
nNnqe6ov+tnqZ+VX1xQwYJW8oevFJfBRl+zlP0VuensnXtvaDyTV7AbKL4jmrHLdYIaHkCCb7slZ
sPhpFM9Peqea3+Qgjr9Xtpx9vT3trfHwZwGdLDyEUNG63H9IN2aQ2RrK373Wv0xB2qF1vwwtrjdB
kvpdXO3BEK7CKNaZCwuyoEbFlVLn5Yh1mFaK1dTcmG0pfYYGqbxGUbATRW1NC2VTMJ58UdG0vhwE
v5ZlGa2q80ZnNu/bOv+UtEDQjFQiAZgG9Xx7FbcenD+HEz/nj7qLooAnle2y81Duz/0oVh0vQtbV
b9vEPNweanNmFDwEWkmje7mKFuw+H6ycBrQn2c38SE1Sfi0Jx79XxHOlK81cwe77R6QaIBQouBCB
y1xOTg4cMyCP7zzbrsezY3etS43CdIvQMA8qsMKdI3BNnWOHIK5I5AdmhAx3NUX4bIYxabyp0TBp
0cHoWu1VpaZjHulyN5+kseoSrNPqKT5gyjzHByKc0HKNpui+YFo3Wy66E0rmRTTgjTuuDxjzhaoO
kVtmlam5sZwpH5KoBQhlZGp6l+D1pruDlif/jjoewu6AdKW68922tgh1Mu4w9PyFGPvlKrZ8GLM0
WEXHWrCNppx77LRUPjm0m3cSla0tQs2WUo6MyiLViMuhLLuorMKgpVVM6Xxohtz4RYEs9UbTkFAB
Vvcy3K2pCWIPnW3uETLAy/EiedFiJVgYT6W4WUi95nXIhJx0Pfg/Z+e1JLfNbeEnQhUzwVuy4yRZ
o6wblhXMHABmPv356HOj6emaLv/2pWWhCYLAxtor3FqL14bCeAXyHA54aJwvhjKT0gF0pMXrl3GG
P/OkHvJlQQjT1dmN++yV8gpQgbskomZIpZed9NEV3ugs6RANBJz/jnGzb8LWWcbIM4S6g3tZ7afW
aHaTO6jkxid35TG5s0OIt+mW8O1d7JG6k0XWtDWYgVW1oafc/lRAkwx9cyoOb3/dV4faWILwwmlG
XWa8+OaibVVTbGRZ8s/YN/bBaoeRdtSU3xhpezcXpTIqZlJr6Hxhi3kJL7ZFihzb4IBNatHs8035
77jtrVCAa8/jsm8Ao3KavbpmsP8GKLN5nt7FuzRMlZ6+qt6aRu6abfnjv08exxh9W1hnkKMu3tMS
dIZLZNwQ4XGXRWKYuruSfIQnzL3NT28Ptf1Vr2ZvUyeyh6BHuJRJz0QmenkJvGIGxERaVhMc7XUc
DkUxuRH+0ybQ9PSfUcbNmhiIkXoERIKr1MsvGwtfvbYDg8JtiR8GjgGMbyfrsMToTEeIZzcubtce
kisbdxnW/naveTmelSJy8bGZigavV/vJGaZn0sCdE8vJr9FR6eac4b974yJ1Zb/c3LnZUzjgtubk
y1HX2elcgDjOG6X9fVlP8hxgPEPEM456EFHH/duv8toSpXNCE4rjG1jwYtUUeZY02Ep3UTOs9b7w
B+PUiOknRO5bDYUr84lim4YrKUZggJeC963L0He+6DjnYDWncWt9KZwS8/fGMJAK+IYWRH72lvP9
7Se8sndu3rebfojRabW9nFE201jprcabtT3vZC7c0JzL5rGpnHULD7DDvHFTGjiVunF/e23xgtsp
19LtGALieZVooAnHCfRAwKmn++a5QAKtQBzG6V0/gkCTgmJHfm5Uh3zom5216v59F0yY3eMf/bNd
DL1PRN78D1gLWxI/C0+A7Ti5mI/Wnu3BbbgwQ3+Z9sJV1jmx7Tisg345e4lrHN+e/9esrG0WAv6l
iEKkcFkl2lqmYM5gA6YApo860VAgFVaVyZMYh/XZXOrOOQx5kNyBzzbmbhLFmEdOu+h/RjlSO7z9
g64seX4PXzXutVuJsP33PwtklcnEMvg96TxQPra1S/Kr9Q2o4n+ojzfPAFrkW7gsnIOXI9mwucFa
cgADTCvS46q4XYaLb/dQOt0qfcoDu7xFe7+ygdCVBDRAGE99fNm89s3KbRHJdRFCWXUYB7KHls17
ueKgel5LjNHens2r43GGbo0Yju1L0SPGm16ySKuL/Lnxvvf93Ea9KC0aHgk9hbn6z078rKbN5BA4
GnOQVyxc2adqKHu3w+LFiUNn6ozIBus5Wr34X4ZiMw/IYdmUC5fHnFj9MnWV2aFMsmmB5ip7nJfg
lxNMyfN/n0TKYwzjOeTAubdJ/mNJWvFaTpp4dEwGvPTkdhg3kkb9VXgdqVI9d4G3h7v2BbARbpp0
iJnwOF4Ol+HbuHTcK6I5cYcQdU0QOU3Wh950E567UmjxqjaGAwUQdkAXn8CgAxc9cwqgLJ2OuOfM
POHurm/stNcW4Ua2hNEFe4oT5uUDtWtGJp5Jx8+qLfudEsSXWBDKQr9tjJCubn2jHr+6p1E/wgWH
479pU18OGGRul5eSrwwxS80eAiiYNX2wF9rMdmsxDYell2KH5K3ePFa8cLCq7pho37nxS649+SbJ
wrKNpjK8vZc/pJcatYTF+W3KuojUSja51fo6nOlK7ZTCHfvtpXPtfRJ/wafHRJN6dvE+Mxq9fZbx
PlWZmIci8d1IB4H319ujXFugGx2NUEA8KSj6Xj5Vxt3ClH3RR5r88z1w2K9WJuq5heVxY/6uVQdb
M5Qo0S3y8JJXCqyoJ9um3vLwn44ywu2/xZNuHoA7KsCnbL0PCsxkqB2SD28/49WZ5KNn69xYW5e9
WG8uMBfuwWnSsTK/1E3WwuVAB/P2KNv7uCjVuQpvEh/uH1htXNST/QjLyWuBaFATiBO9/+xbZtct
9pDTvLenDkcADJ9ORjUakTkP2Y3i6+qL3Lh2/z/8pU+8bqfMqwIesrJbj8737P6FeYOOkLllp7ef
9Oqb9Gi1UKpjVPWvgc8fe6hppcIyBStTc3fYNWZiHFmjeFXKnOImXu2Ibps+9HK9pcO5+g3yjNTR
W5zw5bVV5Nmw8vxkg4skh6C2GDsnNdwopcKLFoUM/3940m00+ITb/n1xM8ldtemyGK+p0vIpSKv4
uIyb9FNW5Vzs484Rz/k69M+rKZsbR8e/FIbLBUUhB2ETwB4a1PbG/5hmr+8hLcgEeJFWy3KelD2a
+NWtxWeYD4Z15gbqY7hmifSvKR9Sj3O6LPblmMZYSZAJ5EV9rowAoQNkyDAugq4J53k2prBTviX2
i9MZX2Q+Tppc9tF2bszdtQXpgUFuvEVMxC9FPGKx7C4nYDTCvX/YU5GbaTgbK8ZmLb74/1mtQrHy
52gXu+XS5GadW9uaxH7rMJeFQZs5q7K7bPWdW3jUtWXI9R/nCSIWiZa6OAQneG/dFIA2WL1aI25h
1cnAHzWS5dIcgq5Nb2zS17YW3ijKGA53DsOLlZCsVV4tgqYtBGlxb+MRaYSOtywGas5lbCOFC960
G8wh/ZyXrvw5Lw6a1rc/hWubKBK7DX2GMo/K/uVqLLI0FV6hAcbK1LhfW+1+8Lzqln71NRGB98g1
biPwIsZC8/5yGIu3l8edRPTQpGtxzMg//ZXoCRd8wcrH9teLP1Y1OUl4L5fVLjPL9LcfS5XRLCLo
EoQwoY0yzXP1KGo77nf4545LOAl7HUKpq/V7O7R9FUm7av0w70SMq5jnzmloCbNqn7LOMlGSl6ou
d5Ps1X9m5rA26KGCdQAd4ZN+URD6qi10tSkj56Hy3o0ybpHqGsWh740b5+2V749jfdOJ0bRF8rS9
0D+2D7Uq8nZaUJVCuU6IoYV7osSKQyuHFf322nhtULAxPUn/5J2Bib0SU+MmSiEjufkHcZ7Xkd+2
qHdX7FG+Z7kl3tNczf0wybFfPaMXGtwPfdt4rGE3maowcz1CDdYlNx8lIJgOc6Mdsgfd6el9tzCV
hzYhEfrG3fQKSLJVBJCct7YbOoWX07PCCl66HKDXgTNwyBa33Uth1ZG3Wt2vpUnbLGyrxnNv7IrX
6lmcEUDzth7+Rv94OW7rl57KUq7a2i6dJ9FN7o7+RlqFDbAIMmFMoVH2T2MRyQJJ/LiIIPS0bPZ8
4rfCQa4sES6TFlANwNsWD/3yt8Bv71d/DVSELYT9I0tHa28qCd+1G5fi1ll6ZcJRh0PY4+xGuHhJ
MZICyMGUI2dprOoHWfR2NHZjcuDKh81laVXfyTIfbrzlK0/IoGDc7CdUgJeNVSKe8HbRKxTaSWFP
PgzW2RkMg3jv/n9o9WwJyiABHNeA99uh8ef3hrub1UndRZ0zVnvZ0kIdy9na4416C1e5NpXbVw0l
GQLKK3LrKuXsViW3vNHCEALeSxl1iJaOXgtFuMVr8N530lu117Wp3KaQ2wL3ZySNL59vnaSXWISS
4QOpzMjJ8/7g9D5cgKzrbxSYV4eiwOMfToNXetByMjJ3zOouSisrPSZBbR/7oJ129VDfovddIwDQ
VUWfghwGIcIlzTzLjIbOP9BDnfGlFciEI/o/6X62FkJsSnwl3aEhYDpr510Q0CE3pqK7cXX419Ly
otQD9YB+969ZGXzRl3Pr+K3RjpiwRpvfujo0vNaPABXJp1W3Pgb/hWSfbAtRJifZjWgbZ6Nt27Dq
+1KyY/nJvW/O9PqA+rzzVGvKco3X16e3t/krZQ+J5BSi//byQVlf/soxVQ22IJaOJE7K9HPSdW8P
9qdOm+VdHLjJDYD+yipAJUegCcgeNcEltbQxFkgrHvgT7JySRO+4QWUZJw9tuxq3DrBtgi9ewCaL
wwhkk4ETKf/y0Sj2xtieQRlaNcfe3l78YUeT28boa1T1aa6JYw/NOCbQ2l7EMScPuQo94YrDf55i
ZHNbjYDqgdCNi4XQgt/42Qy8YowLgcQk3O9SK1v2bjDo+6ZWyee3x7s6x/DlNgmOQVviYtNqDS4I
88ql3A4GD0oZEYDAHP3dCCTwn+sR7jKBzb6FYwP7x0XR3MyLafWeTYhRUgYnQkXI+TJT41Cp/lbA
8eun2oZikM1fEKzmYqF2hMMT3ezpaDDq+eCiDg6NMR4OZXxTC/b6mwBqhwRC15GTFKray4WzKL9w
4ibZ8MQVJ3NnTM80wdP96lkqpC2gzm+/sH+h0JcrlQncTEQpmrYmz/bsfxwzmK/6DR0yng0w347q
UbrNYRRcxcORb+RdXjvQr4m3LShg3N65bwonIDvAkUmHxfzE1cGeSNAIY7+uij1OUfZdXsXjr1xW
1iGOs77Y6Xk2H5g7kgxb/Jj/SnDwSPdvP8iVjReUksMLXjWtfe7XLx8kbsTiGYXQUeE4028A/Orc
4HN3ris0Z6Ev+n5fzCI4KmJ8z4GMjS/A7Tq58eVfe39bqsimdWapXKrHMzydCpUWbDLCs/Yi8cXB
6Ab3OMaWRZ79zcCFK/UfNhPgepAaEfxQdL187ECnti22XY0ccfexnifQBLvPxaktCass80PqOdND
wc4X9cns73rWrenetD96XULwMzDes6Cb8+yX+glnIT116Dli7cSZCJfxh+NcpiNm1R2VO8jjqXDy
WzD/lcmm2oSKDQBI3+TSFqblYjSXnaujQEtUP36zPMR21j1NQVEMSL9H3IXfXmWvoSrMGuFXIqHl
k3lVtEy+UTfxlpymSgEXQBlLVE4WtuaKvlcmhEtO3WTs/NFSH98eeaudL77TzZuGUBN6JyZl4cv3
DBw4t1MLALeksxO1dZM/yvW2EcPVYdBU8S/XCkxhXg6jhq5Y4znQkeEobCVib2nOsluWsI+togt7
jNHSvcDacJ8swK55JvKPU5WZOyMo0ve9HMvmoOM0PaypLW/sVddeN3rcDS6HdEp75+VvEx0+lVbG
t7XmjfXRdpC/6MkvDn4Cy2VnxmB8u7cn/dqq3hyeEIfguES24ssRVewZoGSMKIy+3lep40RpL/13
fVDgPyc4vl3QsRuDXnvMPwe9uNK7qlkrz0hptw+FR3MiV7tAUDk4Xmy9G+P5P7vDMaNbGUarcwsf
vbzYG8aUT0lBsoS3BMsZcpkOVazFnpCiNRz8edoDWjpHop9vJYC/elL6EMhvQIHAQqnNL560zfzF
o8GPFkZkfndyHJ1ggrFFYGDuVxrFsV7n5FZ8y7aCX3xI3EspiLjEoZKE/nWBq8drmpcL3bNoQF1d
Ha3B7h5cHZv3tWfGt1zhXn1O22BIYDZ3D7DXfwv1P07XpSv61moabsDJar2rhtk6BKr2P769TF/t
SoyCGB4Dnw1Bf93aMVAwUdBBsJnG9H3W0iCAatmCYPtrSB2BQBIEc9c1yy1J8muiBEOzD4LgcUV1
MaN7+YVsRpJNI4DIFi3NvwerSX9T1XoLRqhQAyjF7C1w2s5+Ed29fsbzKAnCZG6DpzjX7rJvS8Iy
oYLH+vntKXn15W6/ixMBcBHaEnP/8nf5sjJn0eNppfM+sCPVxubBn8Zsl4zUbLprXaAQk5SEt4e9
8r7xRqaXiYaAa+BlNeVvzOdgo5p7VVx8qWuZmmCFzk3685XHA/fYms4gp5DUti/rj3VF9ak0i4Fx
ZiM/lk4qi9CUc2ZHk1rkJ3BjLnVCDOOPt5/vykrbOsIW+hvyzJAUvhy3wHAQmQrjrglN2rrT/UFm
jRM2qbnug9UMyLqSTggmeYti/npmMe3l2gZKsVXgl41iNUOB4uzB6Tb3h0czFssHlfXdDXzn9Y5E
8UilD7+GguJVNTyk+cKDc3vv8iSI8m50TqTj/b2u/XhKZ3Det6fz9WuELcZigcSFzzVs/ZfTSUJo
MNgO7fwMHXMZEazTHQqrT0657cbPsTtZd1rk7X+9CG8cNdCQf6MAWacX52jVjtxMXfhcK35sh6Sp
5l1T2VmUFXN743t4vdkyFDvSxlniHnxJbeyd0c0zCY9mwOb7R9rM8a85L813OfDvl/9hLjf1xb8Q
JLXSy7kUZjox1TQsXUy0/U+VlSTp3ksyLiu1UUw+xL8yO5LHU9+KNLz6kBSgWy8F9/nLrt4ibKWB
f/kYDRUfW88p7mVV+UcbcPbGgnn9/XExhO/HNw/DkIL/5UPimuYKYQHsoOqXx9ZB9HcM9DoebVvJ
335iNDJcFtd/dOrUu9ERfn3DYt0gUtsWqkEL4JIURSVCxr3gm0u0toqwkkZf0DcaFA7/Sbt+yRxv
qg7JOuqPrqzXfwLIKhgIl8Nsfnj7XV/ZDABFN9iQ2mHbal9Og4jTYppj+qhF1VXE4iAsjcyylvaN
6b42Dn4iyP+2W8arWPbEhEkKL5s15VT6PrGEOixWdsv6+dqm8+co26/4YzMHwc/HFt8ciFhDgWKX
hFvZxdDBm77tD3h8j7/fnr7XIvyN+Q5z4V9gma6O/XLEBgBQ1JhqRrSgrY9kYDrpLi4t/6mmyf5t
ZA++A7AxscyVk33GdqR/KAM7e67iurrzUxsR3du/6OoU4HZAcgNXG3bEix+EkUNWbGSOpii7z55o
yrul8M1vSlb+ThIZfQvyvvbNUgNtUBX8JpxHXg7oDn2l+xVgLC5EdproZu/idin2m63SjWvL1aE2
0BGSCrvTq85Q76+TJ6GIKXRhh9WvyzNEg36Xm5N7ensar20PNDuRHYKLgUFffBdeJYa8T2QHUOWX
/s6V+fC7T+Ohx1Xa2exiSUs2dGYcEFvkx7fHvvKY/yo52SO4pMHZfTmj66agqPH4iEbcKh+HRRnv
k8lHOYpw5vD2UHjrXvkywa0oBSg+uZ5dAptORyaG0nDmfSKb9L2YC0lQsqJnSxKM3TzrVPCYiZda
61Gbw/ARCfwMii216EMn9YvsYEKl/SAKT/y9LHP8odFx7IV4E1TmbjFiNe06qcwgJE1zWY6L6Sbj
Liv9zDi2g9v+Utp22oPWQ//Tq+t5DvWqvTTsxqx7vxiI06LMa51fUs3FL7Of8+ZEFpBThqpr57+I
lRmaECRtK9Jzu/xJTW9+rqXWHj2CVn6dOn/sjsva5F+3HN0GtrHTeShX4+I5c2zqVm2RS0XMfJfm
IXJh47HLx6A9AbkiqqLkhIWRG6v+NY7aK59KDyAKNim3c6pWkr0CQq7j3Vxm2juSy4l7ik1S7SEN
Vpmd4iAOuNvL2h93eFvWabQ0S1fu6aPU6040ZjYfMAgpT0FbTsBqrZB2WFWLSt7rMWm+QpdN/q51
PXwli9NtIGtUbYfsE/e9nTOu7iNRtMRnovYdn8CGTLET8TDMkQis2byP86p1QjaJ/Gft9ql4lH5q
PsMnU4RvZX78wdQtheaAxRKOlGkJ+bwzaj9/HgmByfdyhM4Xlm69fEEGkGahZfXDwh9R+ed1Xkeb
GxHOrC6+IyBlY9o91qsg3WM1a37T4JrxvKmrst9B7SdEp6HdTyJnLubuXdsjB8QBDAetQ4JxFlij
yKwnQfZLdofDW/2U+X7Mk6ZBcZe4onIPlWT5RxxQztdmzNO/J4SwXyEgBqSY4+xv0A/Il2PFgWrv
M9OlN1DOOS5ysZNwCy7rnD5BTRzho2M4y7RPGl9hDpmZcx0mqSZjFVLtUh371iatq07iL2O1mi5U
A8xxdnoyc+fgD01QIsyp2+IRWwIT0kM1pnfKNCCu8RTmIend1LkTzgzEDUHIKcLOrtI2lCM2LCd3
9A2x64fOIlcVLOhOpLH8jUUSKVdtClrEhPbBdEZWkhOKkxj+384UKPfgxch/wpLUJBlaJtbYz8Nc
F8sxC8pZnuvFNfMdbpWNe7TjmL9MiHm5m5zMFRhG5M17aanmHZnIbR+Whu4e8ji1n6cpM/BXH6rp
u+fR6o+sCSbwkTSusoCQ13vunSnj2IaaxBWTaHpo/Ie1k6tJSI/bwWLLJI9Z+uNcng0PO9V7au3a
Dn0SRJ5dkQj8Io2kbw7lohVmJ4OKfw6evxQnR8X9zya26i+zS1QDbPfJARgjb7g5LMli/pPmXv6w
GHPGVuSlagyd2dfo6f3E8cNa6eBDlwiWa7MosDTmuDjNrEUEl95Qvo+TFkvrmSvB3YxjsH8kMZib
ZN1Y9T9dTn8DOvjY4z9A4GwRikF1Z98vbTfUFN71oQSOAq9Jy2o4TaUf7wLo+c6+SGVsneEmNMX2
UYw/gYntIZzA654DojXkbtTVdE5cOX3So4B1uzhF/M2bWSq7miRXfR6TOf3NdXv55jrKU7uxsidO
ysWdsfTnTRu7Vgaiiko5BM+9N0713krSIjmLdJ1mLDEFPkZW3apkb8vJMHe2OxhrCB/DMU6FTZN7
3+siVmHTIIuOpgXr7b02a0ES52qspAfHbSJ3ndHURqjrNIcdbzRD/pSmA17vXTYs424p6mo8ZXE+
x/dB3Uz6LjNQ+4epTy5ilPTzOJ4bKUrSofoORG+Zcaw4iWVuVeinhpi/p1kylx+54Tq/TDmlhIy0
qW4eYTBYQOnF2uj1fcfPmfbSXgDE8J2fqwdT2f58JMU8kfdMPgb13gLzXESBKvP+3SJnO7uPVzHG
e4VRXPPLs0ev+pqkZc2euCxKJORgexLPh6Pn6sD/4WVJJ38k5tJbGbDrqBfcPLHH9b9YhYu1Zji5
6yA+KMfNg98L5WK7k8VSa3E00ng2ReguMQ3QcDatDpWVaGXRLuhs9bQYUWMUXnHEQr9L/8Yi2SjD
3l7l+kuY46hcgk28Vp3ixMWn+z6WAXtWZGZBb3zs58GcP0NLjLEOMxtzesI3Met/FYOVWl+Ek3fl
veBUsSO8GJP4H22TKD8cWrkxeI7cj5b8PcxZa3qc53RxFPeCAKJ12FWmaPKdBnFsfmfBatU1fuh9
M3zA6Txr7ot5Uj6tPbmS362rPvmKa5trtCwfY0ie8km1DuF+ydw8JCD2EGyGyu3sj9LC7xYg3hlG
SKST3ebPovS6Itk3VmHnnFeqj2WLLwP00w/Mm2HvoCNZ3TtJ/zIR4drhboldzeokzhJxvXSb8Utp
I3za50YtlzaaAaTnLFwSOcWn3iv69KmvgrH9XWXr5hI52Sz9J0dNi3sw+TYg4hj43+J4Y4DY5L9p
mXSJ3o02kdznlBt0srNir3oarbnvT5p4vYZWvTO297LBYTYJgwq/HjvyVNvE77ACbLEYNP11cWRY
t1OAlU+eOgN9Oqcp+0dnXdrgMS19PwmXauhiiD/2gmFUSFpp4H2suoyXAjdNTEUR9nMwtMe5CPL5
VFSDY50a6XbOuWhmF4W40QT5ofWgx4VOuRWzjbDLOlqrYTASggaCJP0l/XVMnlo4jla4uhUOdIka
Fyc0hgHXqE6k9Bcte1nedZsNx26NSwrTtrQbwqGsqSXFAofa6jDMje1EasLxShFi2mfBjjjBiv54
kZkGCuuafI+aZKftlFzjdEf0GGbyrjmU72CAY9K8Dmb+Oe1hfkfN2LviaMNofBfUXmKHViOCYTeO
Vv/FWM1+DEu0gGR1GMl0pkeHnXSt/ZmeVUbyzC4rPPvdUs7dV7r50xoNjjB1yF0onu/qNvCWHZKW
AZ5Hpqxsj+cF1kae35fwz2KLP29MZfKjcrFYidpgTOrT4q7lA1GjVb6z57a574VppI8xGoBlv45x
+m5k32PioNR+cjdqXRquVuFJDiz6f1Ffq5JuhM//G1X5QHHg5z4sszEFU41yjSEfBkDEUIS10XXG
97boKtpxfaDbkFJRqjCI/dY+kKQ3BkeJAYYbTl3dyp3fN+zMulX4UCtz6AgeMIal/9hW/aSOWVat
0w9KR8sJ6fCV+e9UTDmMEaISpmPcIQebn5IptYvDmqzTKsIpqCf1VdZlb/iHlfhsC6+32NV71XlT
uVdmEogf5qiNb61Gv29heq+WszHpSYYe/Gu+qyzP/L1BUr0IF+Q8FX0fafX3defmJyN2s/puJLdN
hibuaMN705gMg/rbXdpdYsT1uve40en7pZ+X+TjPyuopbP2hYqnnvbMjJ48AXbMKAGe9al4R0Zjj
hFmyK9cz+U7pugua2jX3Y6apy0Ju0zp5YjM2iydr8tLifdbXZv1uafAH2ud2oxv0U3L+gGFfXJ5g
6vnnTJVpG7Vx1q5HJwNkewh4j0enXF3WhkPVu8dMdC7eN95i2/u0VfKuy8X622+hOc5qq0vrMquf
CrfSX0qiubrQVwYlipppOEDUnSovlHYGGdVf7fIHX03/w0WDYYSWWlvvoV37dtg3RuX948kh6fa2
N6nqzi4a/59xdLp0l7B5PjQai7dd4hXQtisK3Coy3abMdrMKqg8T28Sz06kegSPUQc7pKqvjJ/IK
bB12Q4HTCx7AVrrD3cR6ntssb0LK4+avteJ0O3epxUnb1vka33EOa5wM05oqttfJ5j7mL/wI6aZq
fgwIGHss2s1ESmsxFiFbqmqiVKia8Ius6r7Ltires5fLlSZ3XX2eiwJQjy8h/RC3Ln/p4CHJjGYY
vVRmo1j0fsozLMLGhJjBvdcvDN/hmHxCcjD5Ia1ltHZFEdT1TneC6xjebEHUKbdECj3Hxvs0y92c
ssoks66XXXOfzKNRfQGe6/6OY9XAOhzNVt/xTfpHMUA9+ualZZLS767yPCQ7JP48jvmoQkh2a7cL
klIbIQVe9r33VH8QKqjb0BphvH9cPVmtD53TiiwCBe77u3Ie2h+jHaz8YESDkF7tVE6n3mEXqPIm
GA7K12N552X+ei40b+u5iWX6YI7sjPtFW6t5x6cZ12fQjqYKHUWmyMM0rKo7SocWwqFQNVEPIsg8
ReHQj/a+90m6/9pZU1F/NSfDq0Os2Or881QJL4jE2jh5WOS1wqKktoMYipPq/05ECb+Dm0+eOVE1
Da0fzQH1Hfi1RYGLmYS1Hsa8nORdqu2iiKo2NfRXTDUXGSZ+Fn+12Fvx3CiT8ZOT9+k3o1inL3J1
1Ge1+PXTUrXr37S38vIs2TrmMBtZyTurcsfqGDdp/clP+xgINGPyavx++r/F4NtTaGso3pOn5GeV
esF4Svou+CHjfu2ObhKPznOgc8fdq8VyfsbCnL1dkNeuPLONs6W6GZWqXovSfHD9pnlIPYqqkINC
wnJVrfE8VlzYT9jfmPZTOum+O03En7PJ+HFTP5bdOhSnyWlz81O1Dq3+qzCpdx/aMZuPeTXnLYSB
UdzxJuefzqrG9uiIZqr/qihM7QdncIZ/UqiZeqdLJMGhIzcvskI2XRMNTU4GXu9CfHlMsxLRuYld
ovkutqQocJhz5S/DmIOPJbly/RkwI7PCKS9r43EgOOo8ZYWMd65w5HgcOzumFOvd8ljZ9ZScssbI
/hJjNc33Xm3106mTZnxIgWT6h3rK3bM3mo0bJZO1GvcVs0Pc+Oa2h/W9WZ9pvnr5Oalt+6OdqJLi
wu4LGPVa2l9MYyVQrW8AbkPRgyRuqp8SjKCzrYLRIaKGqLK5VDQEmn4dpljlBNOwRvPWiK29ssz2
Gd6oXUecmeJeaaXz3eTbhCY4ioFD7Dz0b6sSMVVb3GcOfOgyGyhte+ebO89FdbZ0i1dR7Gn7DolH
7kcjd1/7r7kb5EFbvoyP7lpZZaj1mvf7kZDFKRwrFtOOHZTNjfpv/mk6aVbvGjUKI5SJzH43uV6S
/eB581024eM2h6WZ2GDHRLbOD2UTNzp0hh6oyM4ylwOlyevmYCxQKo5c8nqcJ6VY06kJzZrEIeJ3
ZPNkuaKYT+SmgKQZ2L2zmSDL0lu2cnlvrbl7v+SVb4QGWLX5Pm86tR4AvSz3MNJa/2LPgbVEKse2
82CAFCR3Vl736w7uLUYksZXlv+sYS/wQw0BhHvmsLfM4UqNUp9nBCfbsJOuS3efLvCXWoMdywrLH
LJk7oEhlJHlH6qTs1D8Oi42Akl3HRFqBc5J7SOIhVREsfnN9xFxz7Pd10FjD515QJ+5Xfs6emhX9
egKHoonG1i5S8DcuOnyjQeJiZmaAnXQMrcJM+P6HxIxrP8zSpErDpBlAWmSaKORGRR2LyMIG/10m
yLAPC+Ta+p2TLv6pMMpc78CtzL/YxMuvkBxSJ7Rmp/6RCqe6k4MFCVdUmVGc24k6EbNGd/J2ebE6
zzmaqe/82i1NoiCf/piDUXzDAsT+WPH1jcfSUqrc44vjfqmDJVOhbU/6sXc4nP6ZesP5hMG12e1h
4udPQzLKlRuJB/YDhLZ8R+jjkBg6zlYaTbllZA9CM1lhOjbTuW3srsEa0zLfD3lhiFOqiWB7cOkG
DDscnr37GvVJsWvqLGgP8NnsZ1kJHfwfR+exHDeuheEnYhVz2LLJDsrZ1mxYlmUxgSSYATz9/fpu
Z1y21E0C5/wR3bHbTGkYWsXE0vf/79bsifUNSiflq4kdOT9GPs2W+bj65Z77/hyLbJ2c+TXgkPhn
NibVA6FiXXDxxLy92xMp57lE+Z7kMdeNw+kfb3cKbyJPPu/JqVWJsN6Hvl2/jBvtQ7aIyhuPjr+L
q13LN4/LKGdx2XA6Lin3p/fROYEps7hbq+Lsab94Nu6geJ1sixl5t+wxG7aKECVSQnHpVHOFq8Bb
VKnS1Syjx9da8rWthYkeUTSDHfL4LG4qRoQsmUZeed43wmpSVyKXz1Vv21Pmt5hWmMbWnvSGdtB/
NgS38tAUYm/TOhpqYMNuqV4Ipi9aQrgYoM8kEIPjtMHcPi8SU9sRtHZ6m4IWaRlixGU64GOC36yr
Kf5mt1GXyGJ/TMES5KmrXbCHZBHD+rUk7jgfh9n25G0flJP1x9AZ+JNM9VIcZlH5d8Uk5HcMMNzm
jd7993Ut6otxi1LkjAxBnQZ7Rc9sDIT447WAZ3m1ToRfT+O8k07RF7DxKd9+u75Mg6vMccHAtGWG
k+LiM0yLHGeh/5YUg4Kwq6z5I/F69aJCrh6hwYkOYzk5b4OuNv+mU1I8K70X9kvIULAeLXuH3NR4
BaYTjOf8KHAniJSjtX+0DMtj7o9Tf4khAd2DMsyQ94HqzGknBJA9wTiiy92qWX65aJ/nC/Gs4kGK
uejTqAyW7eRYszjHanDrm+4qIGHJCboBsEsMjE7cETiji7371oDpGsh56tzDtniM83uxY7fqQrMU
mXZj9SumrFWkbRx5T1ZYV+yDKrbvR2oolzxyE/WH2VQ0B3thdcsiZnxxINJI/ZZJETyRbNh0p7KN
/Pcp9gHrtjBsDN0POgEGHuLmz7rV16/aNUEeWqr/vNIe1UGavvFxC67mufc7VjgyLIjeNXZRbels
yvEJiyutpd0erbwIsouO8e4X+8MWjkmJlMIsuWnWcH5YY4uJqYzH9p6xRtfZXNfulqko3J00ATp/
G0rKzD7ase34mKhFml9tFrBPgl9jc5Ae7csPUtfrnU8gTMDbgLm84ciTvpe29GX8iAGa7aT1JB9w
jIUGNoBajUevDnngAJtl2rjNdZgu93E4lf0854xyyO1cr6P41iW5+3VBUdbfBmVdnGdulNfB9O7d
4F7ry9x4HVAId0lhnq2kcrHkUOuUKvBMgodsS7r35WoFX4CDgbywxwf3ZhzC8rybEZsl7i/vP2Ty
7VfBiQWKjcftTjuiHlIGrvlDeLWw4HCs/T7cB4tXn2IOkob16HsHv4vrOYuL0m5wVnS8n7yqyZ5H
Fr8LwKuK7nRcRn7uEDaOuJne5EcnCMAndLKKEZ3CHNspiJNvpW4Vmzc5BUwWo9boCArLg4+Zrb0g
3N43zqF0pCxTUA9eHjYtMFBmTkJ/I486FsYHiIxL0Ghpg6EatzkDUm+v3NGWk7UauWoeVmar70Jn
5t5RzG3jAwilbu62IWH9IXfYlZfOKSsvCxpXPxaN6f5rxgirzBZQo+rFVCE++HPDx0Y2XW0dWrkI
c686r/u1BUxgH6ILlz9iq4PgRXjeTKngEqzOXUwj7I1Wfr3lO00xvFGFV/tgqX34LdqkdFJIs6G6
r6S93y/zDI8yT8n62y3rqAGBJEyPFngTpRMGk1sZAtdmXVeph6FotvV12pY6zgmQmPrU90oJc0Md
zU2p2kq8Jzpx1+vXGpLXv+/DpxeNXXXZ2ISt3CPB/21UauOJpd4n+fImwDj6lezyY99F/AszKj90
3ZEbmJIpqIpsHdQ6ZKHyCnkeOxWpWxG3/bPmAdU3npTFe0zPnf/WD100HiooaPUZyma6IXUQAYyx
vc46dJOrwOe2KaFbkjN/YV7iV+FEEUTx4xyxknMBTGyd+9nyrHtRo0G4v0KJf8LGCxURESFjySZn
12S6t6c927dg07llNd5/3rrMVupYST+nhdrG+jjusGmZ8b3pA0gnsc5Lq6cvp4fOeJBeN32Hi908
LmLzcO4hbXUPi6sxdraO2uUhqpPxGSIep1ZUVslFkxzmvrVBDZnkeERqZcRbRMkvBYvWnkGU1XYX
1+H8KjpYs6/ZX9fmIJ1l4KAPO50JtgDN/scCnm5GhcGtm/A+ncuNyu+72shAAjtiLLxoErrF21xV
U50yxIwVBI8BTp1Z8JJDW21ezacYacDssH3Yg93vn5N9GX5oD/dpxULgxWnaldZ0XuAJ5Zm2Un4h
7v2ZjwYZWXBGfhLpwzAF9VlbhT9kCelWVwqpKG6hfAL2gbpP7onQCWv0ZklDFEIyjj+ez8aRef1M
62to1tBcXSjDM0Yc9Tg2YlIHSeBhwQ0qab0IoahAvzlU16yMB/d8VX6R/y+jtX6CciWvDNK8+Guz
sRPS0UUW7O4STuYQh870UFPVOaWVU5s/0L9QhBSHBkVKGimTCnpSZtZrAOXtEG6Dd55l2/wK44ST
o2tM+XfuhqLL2bn5wzvCXoJw8eaZVK6g58emi4tvE3bTP78eGbb31qmZ0/vg2SftcXwYCU1Zj7P0
rJxx0qqOYz32y3Ow7fLsMN8Z0EcRDGlVsTEdwd4DeeJ3iVygr06/ehtK6ZeR/Xs8bWq3PhKxaMKG
tjFxTmR5j/LSkhE/p61dqacY1qXJF9cMKK3rQu9klRhWFtCkxabgzOEcNPPs6N+eViNkYtIrltNY
YAZQVIurg4mU/bJWKvqzjpXTHMz/n48eE4jIFMJqOHCzOy355G7y255M5cBkzOJv7xTEQQ/WgLWz
6uzwtMVzU2f8lc1rOVqj85r0FI2kuzuL+ZhMozcTJhRpEJ7Vg0Zo6WELj9BlfgPMb2OM2JFpmTQY
CtnfQD+RikiXmJqOsax9O2vLodT3BbGbj8bTSHE4nOyffo7EnUDsvZ6E3dAe14YqzBuOlCsU2Y0C
zQqveZVgtjrIaXcbssk8ICy5LvFdG8TSunjSGZqcSqBe3rN6lmvKvs8i73Vhm8HmKXmTtDH0s8tq
Clcdu9uQb1wCAMilBTBHrtyfyfNaWN+4X2Re9e7IprK6skv7TapPUhdm7j3liROyz9JwvHZ+fU7q
splvfPhNPgfn+sAKqcosLBm9LgHq2/rgRTv42DwUJBaBo5BCQKZY75Ot5oYDmRhVotJ2qBL61Lig
UJJ4hpfe6nH+5GJc5cPY1vCRaEuqOGUxkZ/Mz41OWdRFmDoRI1nWo0d96Wu6bm+bPWILsuaAPgci
uL0jJpxuykwf7c1dEIyyy5OyiAFQAlXeJonV6juLEsi7Yd5xRE2LC4XnqwoH/1yO63DmmrLfB7ez
/wWupqKiuipUQXKGjiZw4bQ8b1ah2sP/87XyufTmY7G1ff+pesEQv7WB/TAvZYf+XfXYbX13csBX
LT1PaYxvW6cRdTIXkkJgFvw9EH6KZrN6bWtfOMdlLeCyGG/WW6jsvTrNjg9tZ5ySP13O6HAuChGv
hbjeX2RqSICeYDj19lJCRs0H0ZUr/6HY4OI9QxSi7qKmPjIz72Tj2nTdpexZ+yXRbRAdoNna8ZrZ
YV62FlF/VuIIis+iwoFxqcmE+hjhJ292s+jhMMDVl4xM6y6OWvaWlQqWiWuphSPfO3CVj95oQ4Ta
fpUobHEolqyoZyKIcJE3440FQf06Mjb572yDs3zyPTVG/8DdK2QCUQ150wEIqUzslQPGgxaRqbfc
h692nWaJz3bGs4afpbgUXUNy3Kxbv754jpp1ho6TsxrWvNA/oWX4gxtL0CtKDcG87s3GSxH/2KxG
Y5Ic67gKIs7TTrtnIWT72pRj/V+5wiOT1TKUCBacZDM4O/vmH5yGA8Fg4OJqjnMVz0dt5OJmYAUI
IZjHkS3CVYXkeiZLctvriWK8iBIQFFJdgKZoG6T8YlNgFDBxJP4O8GZbqmpQqNzpnM3c6rb1ck2/
+4bRxR2zANG7vLBrrHMuSpwFGV2E4Y3rX9UHW8VZfkB+obnhgkrBlMugtw9i8M30OGjCIcDG6JlL
B8nRNgo0B+dtHTiv4ynsn1DzjP6z7fI9/RdKI8x55SyP09neqvC1iaUb4TRroLAVaS3VA7wHZx3M
MiCcO/tugtWXoLW0BObibQ1FD8zSOTvIm/A+YI64+rulKaePcOfY/yX8WrCCXu987ndPH9Zkmd+Q
+hdtfo3EqjI+Zvlr3Ndova97220uoCyw/t3/fxVjx8LnC2bWeS5rD7GBkqb5paWuxrTtFJ67RJYN
mbt13XiYsI28KMXIc5Vat/HBHQuiXWaCV377QBk8WYhDuoOi9qM/Op3PVRXxP/+MexDsoOqx/RYO
qv62ddWUKaIT+2uYo7C6LaaRnjnIu3A5OlrKt33S3b9YisnkpDo1+51cuzWh1yweyQn1KmJ5zUoy
8I3jzOVPZ81xdSA7miBHzIz2CzsQ+vMFvLvks2fJ2twYJVYTOAv398yRfugpOtlzIuHKvyvSqLcF
Jf3OL9A4YRb7IzDk5PuWm01JX+7/yWgeXqmqTxApmbkUR/qpXXQFVR1m3UA8PSki40goke1M6AfM
mCyU5/mmqu9mEbkqbVqytjKvnAHvR6DJO4MQAGWRVsHPGG3E/BK9Pr7T4zYRTjLF+rULpeOk3D0e
zHVLnOKdkRyJWWSWkJJS4OHifpxmIP55VFaUSxIt9//Wrbf9w9ZMq30P/e6Mud8T3Za7ViEe47l3
FUiV4BYr5tVsz+FuhWE2TXofbxplMTJM7eTfh4W36pyoq6XKjGoSO+d4k3ZaxQFdNCN0TT7EcjLZ
UiFxu+Kz+q6PZyc8bnpzfKxQo9R5bzVhCM+nxYe1IQ8EIlj5zNsdBeBzUUcJB/Yqw9uCOeG18HwE
X16CbHUDp8FwUozhfkySKXpkDBk+Iby86SGe2+a82K7az8PIX004hmgfHH/YyDAbpXy0+jb6CY1g
SoBwjfsjPLz/ODH6fkIWDEGKPwaBDUHgBIWOUkVxGlQIIC6FD8JklURa/2u9yui0QR0CO7pL1WZM
mUhfZgMFIrvZr/Nx7DebxFjSvAK7bGIID5uVKUV3wwxqS6TfOUW33Nc06SxMogKyJu+DrkQBBp3/
MmI2Cg7L7s3fheYYu20W5BlZ4Qhny+R1k2SVbVYG66KsH9dZddNb3aL3u7No4Hu7ikpNGvvanENQ
5fmTdXb+gqrtvIdFFKrLUM0UQW4xud6ZAR714OyWuatnpfwUPUQSpBX4/npHMNT0WgUBXWI8yRxB
egk4/qjklQ+DCakqRX+hRbrtuvsv7NagveE+C772Yq0fNAE6b8k8hqSN6wC1O3KJ9p18/604+DaI
K0omO34C4/eX+yrk4knlVCVk9a3h9m1qH0iehJ7SnIVbtffabmpUUnD5ABvTjBwiHkV8w5DuVVnl
wIBkOiy7t32jEPuIInqyH5tq4+Rhl5y+e62ax24qLB7JntP+sBSiPToLjSwQiCCxv3TfLXO6WXQ5
o4cv9MOwm336GwxGPa6ut8UnhvvCyZdi2RI0jFbyn5FtwEJI3j+oEqoi52/koRXM280bTteuDPxp
nVcx+u1JUh04ivb5tvFKtcAeEHN32MLae5RWsP7h2t01nTHeoHJ3cYZfZWNa9Ecz+Z7nPrFVeSPb
dYbxHLvkwZFr6B90EUMtEwQm3HOZLP07u3cHJa3q8pFDYIyyCo3vl9RR8+ltJWD8FRz75Xdj9dYU
gxcdSjAjfmeye3gY2zY+FjE9E3lk7PJd2NVAWuSC5Aj1kChKRHIDB2qp5vEF6iNJi53iYJSkswf4
NKNqZXyIq99ircWct3Ei34q64FBAMRA8IY5FyOXw+z13c5AEHBVl06XrNPrz/dpZ5ScAK6W7dl0P
BIsmkmM2LNv5xvON0gc11KQ6Epin/oHqYdwkst+Iw9pAcOdEohEe64xhMl13kch+aVcxuMjVlFMR
nG51DyZpvd8r/gr3Zoud/YalzeVO41bZTq5vPPPcAn79aWKtrINcI7YK1swyPNbrFn0YEqObB1Ub
t2SDFf1noK1ozVXIR8IZWxu2knoe7DzS0QLwU4lmPTdrMmChLb3yAhbd9MfeCZvb0EN5DCcuuFKF
1qD8xgj3j6X8xDqVQpT8Osno3jeAzBZP6T7JzFSxx7+jXfe3nj0RntD172eXJeC67k/jU7xbbpXP
QcCTGSPC+iQlDlh0L70e6bioXuopKsvDuK7B3y6MUBx1VPO9O13vvNattVmo5ELCffaEatnDGDF6
HK1uCT6jbRF/69rZPsjIwH0eDny8zGmWAcFqki1dg8j8bEhN1pMbjhZbW796dwLN4O8aFd943KFx
ItQdV9oZUm7Fy0h3tkTgzdRW977UB8RZJWNxL8XtUkR7f5hmt3n3C8/Rh500GetkuivlT/fP9tyh
jYI7KSLxgYLHH1AjOHxQbh0GUMbsEU91sJRUudbJ/mezG04bEpziu8JGYXnc9R7vKVht+Vm0q42K
1goc0qY80enUamDeGR6JlZJlLZscjLT73SFkRJq1OIK+IX8gcWa+5uqcAUhnTnlndkENm/K54LFG
XF5bABXz1MdIWvywJ+N69dxztTp2fx6dQD2GUBrNYUHsE6Vkp6gmJWhmmq5xItGWloGGdLF9gNen
qC2sF+RSiDLKeWnetw2Ork83ttYbkhLaHn3VXiN6xtDNysSoCHFkSf9ElLWvs2WKkpG/sEROh/5h
MOmAiHhJq6mQR8D/CcIw0ZXPLrGV238JGVR/G7+I/qEHim69KQBIdnbmenQ6dZhkcbJWS156ynVP
EZ/BW5TUrp8jglsvK2k5ywNNW+3ffbQq+wExRrDdzIMS62PlyPgZvnPoD3Kb3KdmJ4PsZhuc7r8e
0TeSK9+mO66z9vWBAsNwT9vVq+8QmSwjBfCd9QFDWKE7Rqh+cGXITeHunXgepBV97STnJn8RG3rL
sUF17sNn7s09gnnAR7n6yfewxcBKHsqyfMJSSvWH2w71Id4W3zq3emsM+lVt+ptgKZQ6dbPTddmE
utC/gwwpntYY/v+opl4Cw3tlYR/V3EDuW+PYUlvg1cBBbK2vNvpXcWSxCI+Trmx1vHaR4BAxMt5Q
rK0Qiy2kW5+rGCnIyzau6rOch+1xDeNSHtdiHSEIwmkscBLasOlt4PsgAZvlTQQIusFtuSP9S+05
GQj7F5w+H3vvt9MXse7cc7obGyszyNraey/W/fgSdPWuUlsyLCDc31onXVu1ZuHIknstwKmdNFxg
tEn/RndxxF4bwcTIQDyU8bXdE1GcfaQtxcUHsS76tuw3jnoSIZCGTUNXftcYo0OGbuCZW54LL+/3
nrMQAla66I5HrnDC34UmdTsYv3Y3xnNUDPvkH0IM64A+8bZW3BpjO747iwusw6IKu7hfvQZIycel
O1FZN7Tngsbrl5Lu3fZu8uu1Z6Zu9ls0LvJDE6J+q0XpOQBWNceaPWKJhJLSu3Iy39tjJ7dkEvn3
8brb/Wlx1r0/y6G2ddYvTMIgTQDBqUMrEhc27rnzGCDjxmDstQizBqf9YinyMRdNzj7nTo32BSl+
Rc8qSsvqNhAWnFAVVQ1PQuyp+64nxy1HiNbndh0OA+tuLPlRhJo+/Vmj95FbN1wSV8Iq80TAh+98
G/PzLEuEmJPw5X0iuS3S0tJVmCIcnYrHeHNqBEOF9pOnKqHmJm9Xegnuo41d6EB5R+JdFlF2PeNG
KLasUiHbaIt46Q66eRhObLDrc7D66NNKH8N16hSxO104tuaFVW0Y/sURwBai+2XhIDdJ3B8C1EzF
MaDQCN2JsAfnsoJO0PoQc5JsNIG9TbVov6MIniynLI2XNxrn9bcFzO5xGrLwpagwS30ckJrRSCcb
sqxaZxPvbl3t1bFrPdshZ5HLNbcqGUBMj9vOTdOXtMOHjYw/DMoJBvIkrEA/GoW0f0c3wD4xIMyt
kecCmRUr/H8V222mt6ILDnugt0dSHqTKcafX08GYVUMQbEsv7nvII5nWidsMWWuohU0Nn7vivW61
yiBf0WIsVmidNk617ThTlFMdK+NfNQZqLx58tUnQaUtWRTra+/aLiOvpeR+mhbWRotP6IJHeB1CW
GGXSoGtrdfDatTOXnacZMLfTxe+Af/LJ86LltZvpisp7PggYw2hDaDyJaJI3HkjJPUjWSqaof01Y
cLk6HqfdtM0xrmREjL+uFRYc1I/ToVS23WRXHz+0KafmV4RpwMtDuewtQc5uwzq+Kvpy4oHS2bT2
B8Szic+hgMhwLFixN0RRIxqclbiZrnm1tjqaLmsR2He9u8ZAaw5OxhndI9hBMHjhrR1hwsLbsDcv
dLbPMGxRP9+qdot4qUGpvtrCHsIjADT/r2i5VA+AE8vrwtxRpN6S1I8ACkGc1yrw2scokOvr3nu2
+tV4VeleFqonk69+C9VFzN5kQdYXlf2tYcqmh34iEitD/e4Tee+0YjkVrmpPLmL95p9DP1X4Y0tb
DSnCAAJSG3d2aAyPR/uJSgSAOmnm4NVMXtd9hKzJE3BsPV0fdXN9ZKTugN6tKT7xU3r6jBNivRFe
V4bn0BMuItvIdLkDIqZyXLqdgHsin/FSYnNS/D4TbHsBaPe7LHvOFgtl/U9f+vY3mYOIj8jnDR8L
PExA7brEwdgANSWndQfWPqxk0CzQtGJFRm43/i/QM2fKJXHqChp2C76TRWInQTaJetpBEP25SGn/
V0xTEt5PYjPrr52L7jfXiEkyPyS27oCao5SQOl34hTMGmHbag6l+2NhYy7xxRqEPVH5bMV9Lu599
CV2EIqpqw6wfR3CPfpb261TBcZ74YVBCsrDIXwJJ8JyB5rpz7tLG1OQsAuLfjF2x+bHCov9uexQc
p2aOvCUbKAx+CWrYtmYy7P8esEmwQDVX+sPmsaYwuKbC+ZAkxjw2yHz1DW/3KD9qFSHiSvdt2P4D
JhmXkw9BrlhQ/YUqQow9y7tYS7d5WWRApv4ahGjrfZN0f4rOd+68aQciaiMG16yLSYYvyh002dG2
o2+RIApzaIxYX5aox+jB3bnf9P7WE85vdUgkYQx5V6fE50T2VsHZM61L+FSFQiFlt8r4fvaGJb4+
MAtMjx2apj2U3pRUv7tGl03KCEkbA+yNQ75QzbdBFlR5WyMpnC7LFo1o2eeQhaCIe+ZQyrImxmTZ
6T2zfBwqabw6k2Zi8Zgt+CHcJwW7tJy22lZvvFzTdm6apbFPJRffGaYMIdUyLu49MaeO/tqgD4qc
DxmhqE86NVqndZV3SUuwSeZE7EMXhdXQR/FDrW2qBuWiFmscY/4sPiWEjy4VV8Vpg6Xz76Tq4qNo
Ntc5ukSlfu+41e+BmhBjKxCgPGiuTA8frw1pHO3/P4qbrQJrHtafxY7NezshZU2daa1fffKu9swW
8/RoaV8Ppz4UwH+9tXek8QYlGJ1neNFp8UYvkNFFP6hD6/hB/9VH8wgG6YzFDyBLi7nEHbf2OM44
Rg5tzUPGhNOWvythQ6Ixs+7JoesNeEsTgTsfygHBys2uwYnWbgalVU5jQzNIcHn2wqYT5wYuy3ua
rN08YrLAXbYvob4V7OhcyfZScWvPdrWkBpc105rfYaasQRPDB7Vh8sBtx4EQj679gjBCiczhdo7u
Nzn140XTYIm1zOeRzNmv1CMzadOmTQ1uzGKNGxHsl5xjNFyJt2bob20/I7ktcrN2Kbe3uGFkvnHa
ikXJ263iVnJfXmwvXH/JuYCT82gdwcffdAjQlpiT4lhYrv1rnxjR0q4Z19cAV94TTnjwk34rxKe1
bMWbDYQMDqeXdjiM41R+g+2xTbULMSTvNjPBX9sDXQW6Y5KHchX6aTR646FvMcecYru3w6zlbnoG
dgmAt1fsu6c4LoJ37TW99Z40XsE43EXxr2GQ5vfA3IjKwtRMXVugCO2wewKWrc1GWjg53fwgeFBF
HpVYINnL9rC+K8tZwxnxMwFKUFh6A0oS2Ed/je31XQRdVF5ssZTX76ersIxUymOAZbKDFAk8SpzH
qH4FjCzqM6kS1Sf2GFuBw/UT/GGAZenIGdH3j31nBw9059ToR4kqfOva3vrNV9PrAzK57n24crqH
wSujfxs1yT/DZDPer570gmwx8SS+135pgusJ6u4DpLG03yeXEr4btM2mf4V/D0pOniUGu2mIp/qe
eDNh6opwZPxtKodBrbXdA3FkG4IsbdEYv8Vte1tEm6dekN56N+tEWiPBcSgLzn0vrfHszgDxTK/x
6h9BEWoU4zuKIajUJoGRnvyvxfYE9wxpWUS6VfvyRAASLs8GW/rbXNv2X28u9c1cOi2gpoA7RyJo
1BPWX/mMXK0cgDXIl3n2K398rwfX+lg7MXmHlbnj0ZltqzjL2bLu0XgWy7vb47vLCCrdzvTeA2Jb
3da8MCV6I19fubkpBm/7Nh6HCFluwhOUuqBPRAYEyj5H3RoNJ68u9Xjy9bipvGxW5KGxXILmKaGn
tP70hmRKHgEG1HY/TQyXmVThKbFI81hW9z/fNO4rtI49M3PPOjhVhe3W5xljw3Alu9wfSjUKMFTZ
LM/AY211RtRYP7babNUT4ENcpbUJ93/k+3M8VbjVlZUS01evR792ogGcrq/NYS4ibui+xx12kH7t
RyetAJrOQRdEMhfa80/dQln6sSrp0/h0iY6sCMlqJjjnBu0Y+BZQQLbqGJc3CgdWxEzvQ9VehFzH
fxzd5ZvxFmvLHdFAVUlvxifT0M78YzGF3yKb1/vtELH1Hvx6J+RtdYyX764M2mzs4iY+GiIgcVMo
EHvR8rnSmMINHAS626B5Owejq1M43gWnev0LDUncYrKM4QoZgIrxzdJW/4VnA/pHAowSDKBX6WEU
mfB51sMw3IpydEhpWig0PO0zXu0P0rr3BSoMDBvufqhDhvjAZ1AWGnlQ59OeguBu+VuCnitW9r5F
X45pGXjctRAn4jFAkjs6Lj/KpOL6SDGBDFBeb0kJVmbj02IcXX9DLIr/PC4BhweMhRoRclMeg5FY
3KtCIHqDhqgeFKacKu3F6A+nOJCIb7fQeFDfsfTvHCbzH7ePtHM0MfxCOhIU83dmva8ukHPtP7cO
UCWW27Z9cYhIhcaeMfSITW74Uzt1FONz4dBJ8bi5U6oNhthMsBfi5An6AmLZT6L/sMl25ILUXezA
JHXDVxThmZ7AW6NDw8B3W5RLTCXa5E9/GQXQkA27HySkXPRDf/FQSrz0lNTzUgqlAnDKdvjZVjv+
9FcsDwQjQeq6peK9Tyyfm1HOs4xPk7aRtJZhr76gtZvxjHgufMB/XutHsyA9ObPMQzASOm9WXJSL
/Y3vDHAMn0J509l4SRBCOkIcVOUpJ8fAiikzWsL41gF9E0dhEqyGJBCg8fOd2P0njRP9Wie5PsDT
ApH3cb+9L7zHHW952N1ihkHs1q+4pJrOg7OwdVs/7rPn20c9lz5HSTmhtK8Qd99YATdORlvY9EhC
uPyKa8f/0XJsb43GDwBd5g8wepgefyh289489lLYUmqPrGMdLZRvtRsoo+v1psu2lfxv9Iol4pv/
cXYmO3YrWZb9lUCOH1HG3pjIqsHtO+/l6iaEJJezp5HGnl+fi1GTp/scciiAGGVEik5e0uzYOXuv
zR/I2RbJxHzPV61/oHgE/9+UTKIOmVl5BwoAQAqlMnAjGU2JDhFaZLqJa9tyvwQco7pNGrmltXbK
IJ4Odjtb/XHIs/JUuiKJ15FR+s6B2bcq1hGoQfARSszNZ5c0DPOInJy5O3SDAvESgrkGKQgv/mrw
y/HCKS8JTiZHpOamR4L8oEan8CARFAn7uaS23UoBkm+Vpv10Yw9LC8ZMh8DfDI3j8I8Yfpl9TWZ8
LHsa47zmMjMN/QiTyFFrJ0yDc2wYS8Mt9NI7lzzFnwIRieD/PfHPIpbRV04CwbzyhzD3jqDayvxc
5XSzH82kNpJjOetk3oQo+hG4lqVJiwibi5+mVXavsyE1V7Rp1NciCBg7OWXJFHEwSSDctpHZx5sM
t/ktJlDsihwrHcza3jBe8Fgye/cpPKxVZRUdktTOB0zZZIUzbixzzFw2TcJK11XT9RcrbJIXS7aO
+uLHo/ltZC5UphtR1GG5xXsU30raW/l+UFOAqo8AhGDdslDfIcawrR98T0V4LmJl3bJOxizOyh3a
i2JBwNCYc3/mJae1Zp8yQFTp0WUmeDfEbf/NR430IjhLPrawFZ3tOKfNZ9kkUb+NnbYcHksE35sY
2y2u/ZrUxVJ2fnAiLDM6CFUMTD0jHW8TC1bwxkdRHe3s0JHFkZ5rWZO6HbD68vfrkXJryJ67oBHt
XZ4l6dnn3ZmYW9X0GsKe2It9RxMYYFSe5WsTRT2ePIDwH81hET6iRA+eS4mPd+UNfv016mNnmUGn
hI4pjxi8dcAUOVk5bhZ9UyUjGdQT9D7J02BcsWFTGZ9U6vF9JSl2zJXBuqaPYRr2n13q1fvIzBXV
g2MNL66phw9jSvgGRWZn7wIsWl9TnTTFBvGYcRBlk32TuuVAntllu2KaZcFQR7psb2KG2P0udJJY
bQhvFp9RPKlvhps2Z96Imh0xTv3HokpEeLYIPjiDNRntYyShce9QzmKJBBPUPUJDruYNxj0MKRU8
kfDM6QnJjV8w8F9NDB6alba8zuYcpNwvDOWC+GDy2rMFZn7xkTZS018i5Hn5ziNotAf3KMpXCnfX
JqggsAS7lAV1HreDdA6aExA2uqZWWEKsMbLWabqo1VSSmsUF+lw/7LKgtZnglrl6KJhC0hoyU4ms
fwzd+aZMKaGpZzrPPpa1FSiqFisLd5NLo2I7+Ka1g9klORczg0AcFxb1OsPuS2pn1k64PCfLOA4D
Bcp2aBlPrQT9ERQFBFYAmugHxWkLUpI+t/0iCLcsdhtI0o2PnCrEBoY+M70jVJZZlp2OGhTN0JOU
VpDQuYPLPbPX5nBfViDn9NdhaPIPYVNOxSmfyumuycLuljqYYaXtWBOyycapLyG6USzWRthQhNtG
d2fh9LfwVbn9uSlVMH/E/T/f+qKtYo7+FsppillNw22WGMn5JB5HHxDSzvBmWMA8FemDeGEVOqWS
3X7vtkU+7AxGjWy2COnSLRyD4o7MXz5atj7nkbOyUx7CCqoJDK66/Kzz0D/PJsv9isK2+FjbaXHT
g11WmygP2x2nMImRjSbPkUIXBVOmFCR90svkzqUM9zjgKo+xte/X80ulHFQT1ezWmzYJw1uAJm10
oVXoxulaFyLgtur+o5FF7qnC5M1TZYS2H/PJ6bcNIsJupWiX0phPfKt4sQYCBs5diuGtXxmJM6pP
OYiVH0Vtox4zWnO08LSDvB96xx1XpbKVv6Oko/hJgQhkK9iENeOybEKXyIDejLZFH4qzMr3FKoTR
L0VQb9jIEBbV4zobkZ3jgbMcurQtpMGVrsbJ3fhLG4bGjBPin8OnPq9qlEjtrTGhFbmrMt/7XrWV
jUafAkFvZ2cMxCd2uEqeRoL3ZkbnLL6reFQae9joGegh3HQ+eRnzmHJlDH1r7KqainDTipoVvETT
uRZ4+6N1gHwR+zB743pMZH9Lvzzgw6qp63Y6w6e6EMxH+4ycinBxmgM1ksMk1S+h17XRM8rRuNm5
vEfhulU1dCHJdAtzf9ZpnLcYCOP7LrSqR2REPX5YzoJyDasj+OEMncyOvor7l2Kc4ptO9h5Qn6pw
7wzbda1vGRwk1NExSpVVxXSj2yxFO4eCOMN4qPvJGyAGDIuLbIq8B08QBcCmblQ0Qq2uaR6KDPc8
FyuxjUlvTJqtTGrnMVyssFTcwim2nGEd3MkN0gwcTLESD4grkMb1IlK3i+/oOBZIPWitFHQ4Ch1j
b6qDpG44epd+sqdswtdge9OTV8FH/TpFOMD6PpDF/aScuDzGYazLn4NB13+FhYLhvmJO3RzQ5/o3
6NlbJmO1hbchoK1GGygM+PILpIMPTP8pbLTVwf3xAPJ80j7ukZU9udMHeuHOg+70+D1hCvrFC+fK
vrWzdAZmwwmY5kxVFlQBfv5qRtH0UzDDCVft3DVPGX/Q0hVh+rvJYtyJnMUS8blRfmjZKyJaJJ9m
yt32jMyqImBQ2ioX0T51EuNbcMfrFGQGEwk6GVszIjwoRrTb7nAOiVM0e2ai9qwZOj6xlCyJcIiY
va2FjpBdU9jzdzRF/bwhgFnKU5bRglw7jh7PdcH+tc2sLKqBU1nKfvLyOtYnWYbdN8XkAy8UQJWP
i6M1AaWQjLesiNRbfsLmvNNxQdtZN5zWoW2gs9iitoqLr7FRseZ2ItXBMW0G8yGewC4eTL6baBVN
WX9rdMHUrQPQCxwy3IbKv6l1168512MdZSYwYN00gQ+j9VflTzMGObgqgsxtt3ZJVhUo7whfGHcS
0v6yvOjSIvr64jPQYCiQxJDHndaPg00EKyVZp1k63isSAz4ZxTQ3H1qbN4S3lC8eVWhVdM8c4NPu
k+8hTccCO7fPBpieT7R6Fu9+Hav7MMq4G8ak3QUyR02IDlFl1SooW/cJLiEMgiFJZ3YFDvfoITEe
yHWQCnkXmK3GAD6i9u2ZGySquTi+LVFqmFF7b4e+p3cmjIpPhFF633jctntwwllwYG/wre6Ezkbv
gMQ2PZmkj6q13bgmTTOaA4ChWtS+65mYeQbgHHvlTZCPHId7JflnJ8+b5LlW03BRUVQ3pyEJfSZo
EkzMmiaSpDVC5wELLP8XWkTM6NUOHwAuoZ7sqWSNBaTDxZWJedhQwYLuiCeLr23qo9DZZE2MQLfT
ERIAWqmUrBXYZLQC8NLM7YgfaI/aova2BlY+igK6fGKDwdIqVnPpYCa3lSUe6ibEic0SqbZ4X2Nj
3XVoFNZJM88WPiKZ6sMweKwvaa6i9EfB2aqFuUPk7KqfhupLPM2BOqDtc7yVaOvoQ+L10XOPCZ7Z
pRu07jZKSv2NVhXPS8ZZ86XJhWA6hKnEX+Ej0hfG8kwFWj0B4rLsMZZ7vIX1j6wDUw3MQ07hqktK
fB8hTtFp16l+eJjJmA1XokSxC/OkyJ6gyszmHjw7hrTQ42c45WFvDTnrmljwxtDncnRJhnuSuIOr
U5L7IAhKqvlmz6k9fZoalvd1hIat5R+glbz1sfIPu7wEurKSCTC4jR0H4VNXiNS8M1XhHVEDdMka
zk60g8Cc5YepjNvkjOiODa1BySpOAVBbtWJy1uLPCOAHIkry9kwjtb6YANbMtdS9+tAMTvDBxETt
7DQfzmJ6V8a+q5I62vN6Lqt8Z2hW6a7Kdkx1O9RDo+V/arwCmWEzGgiYeodvMugsZz/UHXqNPLEK
ue9V03mbAUvpbhnX4nPBfrp0KB1aoRgcRbUb20E+Gloh+kicss03AVr9LxPkLn+ToxV+RInOtCnE
cYwUnehGveoqyy0AosRomEet8fQYTEoCRKbYsii/Eg5qo4uCEHvRCJdtERPGtVmnqxYc20vPnvo8
qhnWAAIkq74buNatOeOf2ALPMCKumzeHCcuUcaZFa3vrERf6gDQ3c48hBtVuk5cxDVNWjiFY4V77
9xpcy+S+SC0anzXTqZXJrDE8D1NXil2XWzAR4OPYzs/Gd+StrFs9MI6HnoNmLm0qc4V72RfrJAy6
B368PmeYUarvATnAnysEPf7Jt8NUHMxATAFls2WVF3vsZo+vzbW+Yu/yP7LDZ+a2Q/HJaTcxg++m
Nswn4ACcfhs10OcoUPZqjIsvQd3M1roAJ9Od5jAyoz1N7OBn5VVVfDRtEQE+pwlvrAe7q+ZtTQDR
eAE6YScbCirq4EL1+tOsQydeaUMqDMxGbCJgkS41e4YGoz+aXtHy+QR5Me5shYlgU0V097eeC9UD
3h7Bu0z/Q8N/gtSA+cKLUN/uZlqLNPXc0TmatIArBjEO4DUXluKpI/HbXcMbg3Mwjs1IqJ9wJEsI
gsWHtB5Th3l0R587RiZ8tiXGdniwfKKblIkR4D7LGL9BWAmfbc8okwNuMus7wyLAnJRnAxjOzrK2
E703c+3JplHMuVzMw1mfwZuL8cmwl4uewCm3XxjUCIcp+Hz03uUKBHD56mDvUiffpTZbpwVb/5a0
L3+h+MX4NPmuAg798Ee6Z4otfiVFYOO8cSbfTL+I2mtGRGsVQJQonot7OyAScj9SBfOG0xcoHmF0
KnqVs0MvIWNZ+GzkaM4PyGMbeJKFT0OR9JESHXZpeSFeY1/wow8mj/ou14wmjhQmJKdzmhqzE6Id
sSRG9xnoUTePJb5eCTgBUzbjv7mo2clZLOb57OddiVekmHN5i3W2LW9pQHtf/JqR3AcDCozcTvTt
uKCBrAuwxVxhjbLzdN57OFTplXVJVH8PkD2eCsxb0wWZm5j39oBveN9Lrfs75qnhXae87Lso2yZ5
RASObpF3cKJFidOYU0RtE2Miut71v9q0/NMTjrkk3TRFREWR8QMqDJ4WUrC6Ua1xiq1QfMwm4jsP
WTemH4RqQRz0Sg3YCLIIn5CUSX7mwfT3QaNUsmX7UcX3tKHm2TZGMtf7zk2mG/TkoMcnU3uf4wx5
4cj3zWcb6SZGAutH4125qCvpQMlHAZ4Ku69lp7uabv/AyIUBwmMZeYgv8BFk3SUL7NHfCaMo97Pg
BIRHV9QgKfg1zqZZ9fUaHlrgbfvU6eWuh6WKXt+F1o/tIu3K42BL/QX6Z8WIwmZ+dShHyJDboeFg
c0iBQmynNGjVXeC25Wc3mbNPEmQgZyAznD5Mc5qqizUip9tS1khrG1nolzfROEfhppUTKswYIBPf
RoRWi86yyaSIgyDz/VFayAgLwqpj8EHzeQQg1O1VEGXOmueX9Xh7o5GXVenyMTfSwXhGXkz6bpCS
1XbxycQMt6iP44CZmeCQZA5DmR84w2X6pjHq5l6MdtVv+3boE1QKaexuTfCXnzOUWcnOb4K22zNc
iQm3DThwjZWFyoMhScFGOBtpv+2CurrYtqocODL+nO+bcLT4il1UvJw7jKL71gYj6qvKhQGIBT2Q
+xk5Y7ziPGFxnpzNwgb+mLXq08iehNzDNNpihUGoZHpGT37EZeWkBdgLv6tWSFrt8Z560KrWMCFp
5MpMuScrReB97LUakmPFb0GbAOlrdUEJOgzbGRXTTSb7yL0b2izIboYxGRlGZ824Rz6avAyG4QtC
u1J+NNOarSPdM2BPllcuH3hjuK9l3NfjLbNfX++avGiC02jgBGR4MGACZ7TWRlsT3CcgrMYRHw3l
dnRCZq9l+/cnmj1wc1Jso14icSu4xeJRM4gmkm0p4AXOTCPpvFmReddUQTTAKfN8d1vB+WZJaKm6
dmZFzwhiEWC+2TaGF9Qa7mumNP5rWaTYjm2lpht8b/ELVUhVLLb3dhMMI/q/ZS3fcPQZmcrGY/So
dEp/F/EGHUGhhZ0yZCv1T3hlyXcOWQyQQuq9vU8PIL7gFmsI30Z91pHK0ebdUzIoznVtbIcPWW2q
l6HFfwzJAWPhNjMbol/jYqapYUoTJrxPtzOA5WCB2ZIsGmxE2Bs+xkWt5CmMVPdxLuf5CYgG/AWq
8Z+YpRSLj0++MRCGJjjYDeotYD3z9EFktbuIGSYUgR5v10Njx+mBSK3onmMTAyivxTh/yt2Gc9JC
HVNr8GBgFBxtGulKtr3pH6s20y9dPWCRtDS2eni0Nd4lSfdhOgjcCNXHKgdCu1sCwr652dh2p5Jv
d49bOWzPY1tmr3QUG4G4jNwzF5lGC34UD8pr0OOWopOH0pfvN6Lw7mVh11ugdCpYaTss9kEaRMRE
FTRCTmOa5iZDv9mib+viVEA1U2W3sMqi/BZIDUux6jOqXM+m5bupc46MyyG2D09SMFjcCmv21Vbo
AGatW+KjWzngZNFn4m5vbxVf2ldHB+1L7avwAvhHoGoeWvQgTVWbC0eekw21vZfN21nG5gMcaKRP
OsirB9QRjLgbfuZDAwqMAT5nxK8C/Xu2QcYL2BlyLPj1OazMbGtktvfKj6XNdQmDOz46yWjRranA
IK5DN8/cM1tdF+3hETnxHhclPwH/y/4g0zJnZ3Jtv7mESKIbxvJTyCvYlPJTTI2iD5EAY22WpfHT
FWE2H+ayS6zdmHazWtw0xQOKV3qxzmC03wSEIBuZRju/FgWYvRvwLdrexb1ofwCyj39ynhlvE6SN
D86gsP2VuVl9zKRpP7PoBbdJV7SfA3yS3TYyAolFvnBwaw3Wp4hC8qM7z8OwiuAgtBzT5pR0czjY
xwxVE4q4RDhs52Jqm03GOQNXu5So/tuqA8scOqF7lyOzN1hC0+4H52Wml/mQmN8SNJpf+872v4iq
Jy/CTIEdcdiO3Kfc6hBGKTJ82aYybzjDx/LsdU5jQokvjMSK8KhUJIdtQdvLWaeYl/WOLpfxNIfJ
/NUSWusNAdXuF9rkvOaEEnFSAjyr7yc4BiAMALYw+kaOdOdENMJXFDEWpVJpJrdGjR5zFbSRGraB
4eV0zpgFbRqdyI6BOhMI5KrW8NOZ0vyecN8QlTNbGKSq0GkQzoUkLq9dfxjTCyxO8dz21AVGn4cE
yfYjrUshmbMNrl8a6zCwA+9WzoEJdbNxxRcPn8MD6p04XmfIUQkgLUmRh4UVdgcmItj4y9qQn0hS
9c2NQQ24o5kJi6jLe2AjhDyN8a5kx0M3gBZvjTtKp1s8YfQx3QIU2yNye4FXDpoI7rOqY3I9LqOI
kiEvVoscf9EwW2a7j5EVLESAJufMlTADXjUus0HIYYjHTuALrb1NgGt91/gpwAfkOYa1z82RfKWQ
BqSNOrzyio+dBzoLTTPXftBes6BzC/6iqdbtS5QA0GFwN5jViVpKXdKhNQFsjEP1c/IMcbHo0dDK
Z0B+Y2dW1e3kFKCszvhg7QttwjnduHYVsOra7Ni35oRkYjsXiVHsqryTnzgbEMsmNLjFFYMl9tJk
mkH41alugcVQAQ67Qs6U3aEtlV5my1GycQccDRsntZYxr+GGz5M35a9tSZX+6prUeztIpGZ3LmoA
NysgfzDy+5op4spJZ+VtS2IjB2YMtE5WceK4z0NcKeYN0qK3n9YJFnLmQdXL5M3FCJ0xa4ZNgtm1
X0Ejq11y6C3vZ4HG76ynRrwuwqJoZfacCVh96D6sOuiCi+cIyT5I2Cl4Mouoz+4HQ3bxOWkqDyMf
Jn4+R43ptVYqxRalo3ZfEPsKUNQJcs6fxjx/T2jpAL9T2typyGsdWjrSQR/YAlK+CWs4OivS25v8
MPguHS38aEKvwtZwnxJwwS+tBxMZhEsw3GWBDqO1azessGHC97tzY6QKu1y7k7ua7ErdQttlfm/A
Z4EfO4pPXmM331sw5ChqLMrQvfR68TMlzSi/ZbdVt5iZiO5uQmF2W0OHAqF0jkGRG4hS+p9Quk9y
aNMP4E+YR4HM08+VUxPQiR2o/wGhq1arnoDGn9pRItyAnWCQAfFM3re5F1MdsNrCsqud9DXgE4T+
a/UpUydn8C4DBTAepbjzfxQgbHt4U7BzVjlHQX8FhYlFoMzFMOC41/jpAsaup7mm3ODoNVIZwObx
XrwGiXeTah2urTxk91C29m9Qn2NwQYkUfEJTHh8snUDj0cWAFTl1AXJv+T2QhAAsbxHsjNJfxmwx
agvTrrPyThSV9UOhCaiOAcDIAkZ5I15I9jDs9RSVNpbR0mvTvUCtfuvIsWj3gRXO/TrXzDa3E0k6
Yo/qbrr15NhhWxkjc9wUmVt9y6Mo+RIiZHx2vGAE9DZqPqYX0gxFsYf91DUrrxCRQGzTdQ8JeRHh
IdVZlhzROlBTI7Jrj9JRJhAp5OOfxjKRnyRofeqXvh+RvRQ9lGlz7r8lhU21PrcN6r3c4ciJINL9
MEvHp5kJlgsbokvUCjOYNovvDMN0n40gxwtsZE6+pHnS4+4gGHhoJQrtoSem5bSUAeQ7qye3nVkU
qwqnHdPOpm92Xl+6X7qo8rCXW7P9wZsRFJKYEIltypwapQZsDYvZs8PplG8oduGNYrTYIEf2MV1W
+ANXgoFosjUnnzaT04O8XUUFS+smpge2HeAzdaw2TOrXvY/o+xYdSAuvjCEQZGuBCcJK1lwrqLei
G7L8QwRpJARzPTJ8RDsZ9Ft4u/gOQi8bGceFcioObMhJtKEd4uQH20ZNt62s3v4O+1cnh0rEiLFj
v7Uv0Oz7bNOh4Gd1d8iD4GUz7M+mjrwPIWdbubULc86RKGFv29g+Wo4Nqh3KVByM6jISl/KxQA/x
vVPaKBn9See5aKYeSgbea9oTUWV+hj2fP8peT9w+Kq+bABSFJkf5nOXTqRbeEqJDE/61ZG2dULyp
WAJT7Ct67iCwydXw5fhc9N34uZ4RuxsyzZAgN3N/1slIj9l2RAILF333c44OzzqPZBDgC6PGWrAC
2Kz2ZDLpe7O3eEEGJHUfpspWxBUqnhKaIezLQBoH9FSwxbFgeCg5jR0CI7hSLSGIT+DnIuur6zX0
zAeiv25jVvEfjhlZ085LgVPfGLhL6BVPgUxZXiG80wwsbHnv5DH2gw4DR72drRhbZRpP9rSJkGAe
2VG6HCCpQjndGI772BVux06WszlVeEi7VWLVRkY96emT1ydBsEnL2KdIgRBjb/2x7b/O/mR/NOOp
tDYNU1kyuvpa8lpHBNpteNIT3eMSU42N7Kg4T66wBU2WIGy/xAP27Qv1ynTCv2y1O23T049YErDY
M76HB46dV92j/eSIyug2fu7JCkXx3UV2umEcJGnMh/Q8Nhypss8GvI96DbJy8ncVM97PZdx4I/AZ
Yzz9VXMw4TTElMnPXXYZoQB19LoGYv5XHQfDUJc5STTSLsRFkyPy3TbjlC5wIZid9CHeBNDctf0j
ajGdYkNDvganYIgeK5eJDqkuKe2+soDRQBtGtAhdOriAX2mNd/K+1nHZ3TDKtqjhlY7CD2Y3inlj
JbNzxGuUFDht6rhc/RUMtj2V1HYbtDXpmblCADecVz3b/WVWdCwqGoSb2A+9F2Z17XNpp8lSQCHD
EjiTP/01z5gZRW/j/vUaK6SsFYgVDdSt9EKqwtv9hXmyDYQf5lvlWbG9FmyeJ5ERwnNI0TBP78RC
vZFnZC25avwrvgBUsWQO/S0ZyxQRcBe7atdokiZIUy4il904tKN9GLsov8xo7L5OYTYdJY2DzX/9
6//8v//5Mf539FPd//9I0H+VXXGvEjpf//e/3ooYcph9U8w7jgjMq6zDgZrGZ63j6IO7A+kSSFra
ecH591d5KzYJVJ6DqBGFSSCvIgCjdNJEBnF6MiyGq1AYX42u1becM8bT76+0ZGj9EnzKOoHq3BE2
Zx+XB/rrwxzSOFIwtYiU1UZyHubO2rOZDmvHIBfCLexv2hsAnBOwcW7c7sfvL77cxtXFl9/Q9B2i
Xj2m0r9evI77KMOHT3ZEqdNjJRLyKkF17JqoxSHo9DEMnizf/v6i/3i2TP2Y/HE5gaDOCq5+wXmq
hjZ2Ub3NTVd9FDZg7LKqjTtw+MmfZipyY4Hr2NKG70N+2dXPyLBsbMk3wGBWVc2u9INyg1W13Ywh
qUp/eleOSU/FdH0HMqEnrkK+nNDqKxj4wCZ970kHaX4z2vWrU/TF7Z9fiLOkQwq9yWMUV6Fsuem5
CJugBcDJbVYjHYE7i1V1xwwcd+bvr/WPADhuxpGEQAbk7Emsur++HzhsCVwpAmftQxuFJT1Zq8xW
DCxQCa8IxOj/9ONerhcsPxfrioVX7tfrpVUbATrjeho1/h7mo7F1url4+OO7ItfTChhSCFobztVP
VdTRzG4uKTiJI1uHKg12GEYh47YC+Ik9eO/kIv7zhQet7ePtDSyfidD1J24a+GALgQYvF12ztlyP
YW4NnsgZ5Pzxj28Nd6Xl8r77PEPn6gfrl9ZAkRA3MZe595xWHQMHv3JeWwCFe/Sq8Z+uk75D8jla
PtoDfGDWcut/2woM8gDYIFHRGcB4D3OkqMiRUK3Zvd/LY3zjKfJaEGEHosnBHXP1q8E4aBfjAsAZ
OKAHAl34AujOrPGude8ETL59KUi0y38C3vxf78oKcabgIVq+ZadeGVYijiECQm2kzjsL1BsfmM2a
wVqI1JbV/+r3qixEhmPMrWh0DDh0OWAP0ZjuY3eAuDbX6Z+vUlwvEI7nuQGP8mrtJetjyPuAV7Ek
BXk/Dna0ccgM27dN+vr7N/HNZ2gFNqgRKXw27F+fISZ/snN8jOGZZiw/d1G41YqA+nSM9H9yUzZ2
SsEj9Fz76lIRJb1jJiOr1GDByYMUcHRDbBeAH/x3UiP/uVuT7wzWk7kaAkUybX+9K6TkiG5CkMKw
cErEzAPUnF1EPc5AnrjQ10Fr5HqtZTAFmdEln6bA5sD7HzxaKWTgmFLa8jqgXXF4L/UI58EKjZoM
JNzmNCv1QcghfWdB/ve/9WuFgH9ZEGLhCaa/lnlVnoioaBUDMXtdzmX82dBMcFbtSLRRhcrsTsR5
dp9o7ZwZjjUXwvDEHVvuvGXULo9IcfyfU1b1P5Fll5LzPdospvvZIU1MmrsG9pd3Nqzly/zdn3v1
+xgGMtXMk/Y6Y14RlTET2HAk+oCgiy24drEupjaBNQwo5Pe/yb/rzt9d2fr1zYCMgsVl4MoN8EYE
D5DlCnnn0Thb16bXn4NFEkCT4DXUtr6IpIgPdRe+81e89dGx+PN7ecvCJZf//m/LMeYhJ7VR9+D0
gy0ZJjDGG+T+RyDh9TuXWj6qf9wvAAW+cGTAnnf10dFySTuse846bL+6aDT3DGVKxrpwZCsgQr9/
um9dzF6CRVF6YH+wrmqeoMpaZ+HfMnYsI3OtTKe6GH6q9+4w5vTiHVxn79yf+dazlHQKqEgsz7eu
04wDPNZUEWRwAnBpYPuSRYACO6yOPuX6cSLtCzGK5e3ABQ73FTsFEy4yAba0RtJnwwq884Tqu97g
nxG7mmb5/vfPZNkarn4ATMUm+BRJr48t5NffulwevwKhhSoOY6Ws0ds7jN62v7/KG0+BbSmgoGWD
soS4eq3DeWT6CvZg3UwCpK4DIMV3rRXe+2n3+yu9sbSyfJts7BZP3Pau3t18sHvUdtR+TIf0cY7L
8Fgx3VnTRllGEF657xszhgUZGBeSQ/SfL6oU1Kx1Hj1vVtWrV6wYcX4mQ+yuA0MZD60n8FaIqVIX
LNf559/f6huvs0vEscNJgRfLvD5Ao5DEA1xzLYTCSwqATU4tfTrU1HONsYzos3ee7Ru/osfOyE9I
QLfLNO/Xd4UQHWCeLi19RGvNqR4y2H9VKy/aksE7l1r+qavXkksFpkVZw8n5OsKZlJ6GYKCQzTj3
GQHlTdKBKE1iIOCEqm0HR1g3JGMZ76wQb96htKTnorlxXXP5Wv628iHi1Cl0JohomC529DlRkVQw
0XF1qMMf/3pMJuCR8w1LH9zor5fyDFjy2EspcudQPDl1lTI3QHd8wFWZBejw+tp6ZzF68+4Cj1Ml
e77py6u7c+3WZA3khRFR1NZbA6jYDWQTN90kWMv//LjCU+Qn9KRn2VTAv95fy8EJGhyPErKKh9KI
Oscnr3urK+Sdv3+Ub90XK5cMLIc4WN++uq8MjLZCf+yuMZy5BAxBHzZyMmo7xIfvvCBvbdDLF8Dh
gZYOXs+r28KrL7yu47YIefKjdSVV7yIT8NUBsL4BwzgGOZwPQTlwTpuGn1rX/ZEsH32aO5Pi/M/v
3GMvY3jOouq6V8tNk5MK5Q9wMgnd9Q8dDqjdGDTP3YAp9j+4UhDAw0Lfw26xLEZ/+zI4vRFQyl9A
tWgRKIA9DNSRhe6VRLx3nvFb376/nM9IVWPuK682i2bUSLQa5BQVct8jPEambKRXbTQznBPgaOOI
NVH+B58j5wv8t6zc9CjsX+8v8uE8ToCzURTnEU5bZBhF7JlfJqc4VHMQvnPiffMeGR/5DiUWPMur
H07hcZDWBLcpTFT34CdOuiaDZz5A1MguuASJnIBV+OfHRNZue5FWmZR13tU9ziDo0NeBbs/Rqprb
xTSKTrD1rduAa393kzj58vu35q3blL7k3eQN9Vjtfn2qkNCccITjsfYmt3keZ0DjWiFnTUkk/TjE
Mr90gzG9/P6iby0H9JUhigYc5xz3ajkQuvRrZ4CUgBVm3KjJmNZebmAQYFq8/+NL0fekJ0NXcGkC
XT1RUrYXpxmzA+y/5iamW3mhrZzt8jrs39kR37gr2uTYnITPmZEa59dH2WFfwpTVQIoNhNhlKCuZ
heQe+Gv5+vubWv6lq70Xmx8vJfUT3Rhx9aONIgybrDKbtY2s5FYTWj3i9SzJ6Pz9dZZ3/B/XsTkE
Y5UT3NLVUir9usxS0LboXXRw4FtRe29sPHLHbYBTs+c/2z2ahYrtkBAEP/v++8svK9b15X3hISxh
UObRFPr1gUpddm7k23zxwh2e/FDMj6i6QZbKvtzVU2m803F941vwyTqlQ06Py5bXK2iHNtGPM0aK
co5wHhXK/6lEE60TxvsATJZ4SiSQj398k6zZ4F9s2xaCg8SvNwn6GGg/Wu11HwCnU1Ai7jym0zt4
kDBNOFG+85v++6ldPVU2Rd5P+b+cndeS3Di2rl9lR99zNr2J2LMvMpmmnLrkWuaGIalL9B60T38+
aOacUDIZyVMzV9NdLaEAAgsLa/3GsDiDziJ4e9kw0SZtEVbr0vS7FeXODxniv6sOlE64Uw367Fo0
RlCYZkgfoLnCDzkVSNu/PfHr1bYc2yOjMMiycBZfHBfIHMg3xRRKVVvR32KamP2kJYEDKgSEB6QS
LGc3QbAxd7eHvd5UlsMxZf7QQhBtkKf4t2vSRl84djFVwr8Qx7G0kFIm2EzewWd5YRPGG7NcHU5z
ZY/J0zwuzcvhkCzUoC4BcpIagB/A8Zh3TQYvflRGSNlRiczcq+cnVxSfL0jwGnO8HNC1pSpxObTQ
fxTakomRi/dzZ9p3iRUMGGiWYmOGK98RQzfGdLhHSFsXF6VR93GOyxLUTy9vz7FRoV6PtYOvBEF6
jiIluJsVRf/z9ixl5LncxNT0iec8cXjF8by6nCUF2pI2EkcVTw/QTc2IyWBKxuNoVfW3HdX134lo
8Q+AZLRxfq6jvBzZJjPgPW4Dv7oc2URZaGpqiwsT/dIDrWfnrjFc/RGdn3KjZbiyd6jgagZVOUq5
BMHLoZRAT6rINIE4VGg2NuM0H+BWA3aeq/dlgJP37TVdnRlfkLoS6DrTWtwqae5EyhwDPYHiXBxL
Mkhg/oFyRDon21jEtc+nUeDxbI+2k+osNmmij3A8cqkfM0MA7BslPJjo7qDwbfxF41c/IWgkbRJG
ZSOrk0Hlct+QXzGk65FGsqKLzZoOE85EeSOggFBfUnApOsYUPjaOxPWH4/1B+Zh9Sai5OoO9hiYJ
xG+xb9sESR1IAT4iNNURpU4Uh3CG2VhOTe6E5bQc+Tij86STHS+OQ6NWiCQLQ9B0qs03ScYLMkoK
TM1Mo45xbQmak1q1kAVsNT/XdY5UaeyJg+hDA1mPoX5SEVX7eHs7XX9jG/0+nVIenWdukMV2Ankd
QsHjG7d5hjpET5D9HKZiPKETZH8SAibmORlhF/rguAFZ3h595RN4vDPJ+vgfvI1FmPcce4SXW9PY
b+evIfLHNF4wmZ6gNBECj7cHu86TiEIabVrOjWXoy/azNMVFEBF3ChVo9xlDLkR2nHk4BzmWuRTW
nLsyzBGT7IRIDhZQhNfXgx0OEePzW9gIsi/OU0aJVEXgqdu7afI3D6L2CYf2ACHZ1Hx7e6rXB4iR
SMigkHJ3M9/LmNTVWPOlFngbfSxgHNeROMW0Ozc29MooZGA8MGVqQE9i8fVqxUNGWw1Y0NmD9ov5
z72iI5V6ey7XAc+RJUg5G+gtbJfLuZRo1qIkPSLPKuW8psjo72wt+WwM83z6D0ayyfAMXnZUzRaZ
bI9oGeyVAWNXwMj4mYbOfY74MHofRnZ3e6iVvUjtnEeIhko1nfXlB4pcbGlsqR2D72MLS6Kzjuao
D0+aTr1+lxtt+iGf4O21Tl9/agf79ZVk1OeADOkAFGw6nYtzj0Av9Z0cGBXmhcUj7fD5UA7oUqbq
aB5uz3XtA/4CLXi/Pt+yIYgGTN85nT4gx1NDk0ohk8F9T55RO9zqTMhlu4ywuOMyIwlkURGUXuxI
N8CkSptgW9bGbLxH7676VCm2/klXwPfueuF6fl4W5auvK0YFucaDUqN2tvyYyPWMYxaa/X4ESvmA
sVLla4Nn/QfnAIM76oAST0Aj9/IcDBPG0KqJRDuMQ3RBZwOtVmNu9nj5vb5IxVR4TxI/aKxSEbwc
StNhLAOyBvbkYFniINJ6wAnP2oUGciyv3xyyliJBBHTArcWZ05sWU6De6Pd10E6n2UMZO6JRfMz6
8fvtkdaiFY04rhkJr6I5fTkpWxi5N2e4bdRN1d2Jhhdy4YL0vz3K2mbnQjUsuLWoYlqLaFUZAaW/
BO5l7WIbgio/UtCNVZ9nUfYbl+fVUEyCrJqXMCZfIEwWWdKMzlJrd3i7qlbvnLBHmc710FFjgIV0
uD2rq3Mlh2LlbIqkZLrm4uZSMPKGV4TcUVrk4Rn4c4gEkYie8WRrv3i9CSU1wbGj3JjhyrA2WS72
QnQRuGaWUZJWNvugwguTK4CsWnzGNlE7ZXmqvyC56paIQFn1a88ZD4bfB11sfgspnDyMxhktuxJy
mo7BDqoc4jjFQ3++vawrX5BOnscMDSA06hUUKeYJpKOZsK8Q3rwHsYwyp4OfGwBwc+OcXeV5clZA
J2nXspYAJi53fwC4JDbGVBpzZiPWbEi7mgYCPMAXlFPV6/ZX8rD0/ei0G8fu6qZbDLzYOmi6AKs3
o3kvhDYceQeiXhRbUDW1OanuUVuPfJS8YOBjPvxIYznfOJCre4jLgINPB4XK9OXEEdmbReNhdaJG
mFDtYhVZSz+MsuIxQCIggaJRowwyIXGxccWvD2xY6E7RRSPjvBy4cTQkWHHaosuX9n+h+lF/07Eh
OkGFcfxadeZTignk6w+q7JFTDeT6Awi2WO2hUjytCEo5W0D8e0pWbf7YiaIYfsx9oTz3UZsoVHDL
5sftrXwVXYEV8QqmeksBxQBedzlbu5zNekIBZ4/8gjLDJulAxeNY7Hx4/TgknQbppgeYdNl747rQ
a7eBP21ThpKOOlMTPEQRvJWNz7c2IUIrlQuOHAaMiwnFYnbMLEhVqYmMeWuJ/8Lc9lv92ZUI4Pw+
yuJYRika7Qh/qHvkQMTJsQNU3CNPqhA5ry6J8IVI1umRQM6kQbO4LtCRqvM+0gHd2KX+JVIm7a3e
OXS7wBP5tz/SytZ3SGpxrbdl73mJo8Mox/WKLFD3KL6htodmJargw3TX9Kp7DnHW3fWIs298sJUI
R75i27QPNMQ37UUmoTqRo2CypSExlzc/qLx8QxFxfjMQEx6g4Be+NUtvOc9BVP72dNc+oi0rXFQT
qPcvtwpmd6HIU3ZJl9vTCVo6RowJLD8drZ2Ny2ltV5K1A3ujMmJfgWU9ej1NaCERQgG8PJVqWfsO
RYWNmCmjxEUazVahWAiEz4G96C47h46J5Gc94+IGvHpCPdKp76Tf7bGWdpdDPekbDbW1BZQVEQnu
dHgdL2K0N2IZh82Xvm+sIj+UUTcdcf6aTvAat+qgq0M5BBCVdN3iOXkZp9QaJhTNJn1fQ0o8EC0R
JsSgDN1JZwsiu7qK3H7UFSkN0qq4HCqNQevnTqbvWzwx7yAxmHcV7in3I8zFPwfLCE+3t+HaqeOT
ERl1MjXaW5fj4ZyQCGEzNcNoXlLoiudYwJpLccj1BYYRmFfP5caYa3PkyfOrbE5NZQkZqAC8h8VI
2J88oe5nrU4Tf6qHvIBDjw8jItTF4+1ZXndG2JweVxvoGYILfNnLaVqljSHA5BGYE6+Ld1n8S/J6
9LRjinwywnWohhHn3GMcWajRwTfUjkGpQjO7/YusxRvmzRMe2BdNmkU8TR0Nn6goBv+WuPqzgiGL
CkbDHk6U04YfRSksqEvI0vdtY2zB4a7H5vwTYDHyo5xPLelyDSoltMd+CrDrKpPa70xzTNHJ2+ne
EW5S69dmNBxE3iqH21O+jj4Ma2nsZVNispYPXQj71LXkxY63unlwpiR4StG+O98e5fqIygFAe/OS
5qZQl5NL3XnCSG4ESxtYBJ4QMy3kXo5jVX969UiOSRSQb2pytGUygS86RbrR0WEnGvrBS+foNLhe
fdLmwd6Y1PXhpJEugbuuDRjjCmQW2rGlFG0MNN9DVt0oStTDVQVZqsINjgBiFaQG2i2g0vXppO8M
KJT3Lo9R2iCX26RzIHN3FiA+uJvx2azxtm2wmTuPAuZtG4Mjfu16ynISz3neifSalutZ9Gna4j+F
TFY0d3B9x4bIUPLweMzB12xsxuszcDmY3Ea/tQirLoiGQSKInEYgRO22aEWEneGrszVg1Qtv3ykJ
8Tmu3hv1npUQpAP7QkwB7LlMdBaRtlQtYYX0Pum4J84TNob9XonMz4Vi4VZUIXuKMCn2sSMSpnWD
47GV6/1GGLz+tDYXJoQqyS4hAMj99tvsy9hzI6Fqkz81inevDFN4mjInOKd5PaMwNG2ldNeHkvHo
Q0NjYUAqMJfjZUg4IgHkTTjp6N4TFecRM7TI8EOz2yo2XH9YRyXI6Jpu8yyGiHE5FGoy44xWxuBb
VdOjati34mPsodmudSLtoAyP1leMV5qHEDf2jU11vayMzUcF2WxSWVlSrLJJQ091LAffxSr8aYBB
cy4oyKJ7pbenSNW6jUz5elll3kgjmPTHBcNoXM4Vx5xRsWNnwBCxJnh7ybhDTgOjU7X5fPts/mp5
XiZ1jgS4cnXSWpM9r8uhsqjxqNiHk491LDKNQw6eaNeYWKUC9TO6v3o0s55tlHb+BJU7ofWf0BzZ
SYFoPAow2N0NWW5v9E6vLxRHJwCrJM3yKluiABGP6lRgxKioBCqmg8j5RHtjKKaft+cur+LF1OFx
WTJRoQRwFQfhieO6pZmoK4QtCkJQ3dU9oJ86Pmn4joJNMwA4wJRyfeQ6hbHLJ3Tzbv8KKx+aoosc
nWIdYhBy0/92Xk0vQDs2ddnUlpo+kiKIs9pY6j2AeWPjIbQ6FP00KDjEfJC/l0O1iUEW0mqDr8+K
wAutiDRzH7Utis+OMXQbj5+VYEixmAeXARJOvvcWM4t6voSKZAlKSINS7Dtdgy+Nps69AWV13wsN
3roxxSdYwu6bdm7C53DWtviea18YGisdIhcYN4yg5ZzRENS1csRfSNMeJ93AJyamclfkM3qFuMGi
dKkrfpbB7yeL6T7c/rqrw3OuCB4W+3n54DWzNohSAoevaamFBqVGQzntoUW7iTWilwg+HpB1h8pD
hU2s4rwab+3yDWgsS1KQfB0uvoGwgXZ0YzP6YZ9X3yscC09G0Fm7oau7jSO7EiG5eNjLcEKpiixJ
LaHWuUKfhxGZlBQpDRyUz8MIyBupmxjVG12cbi/t2m4GeETnlk6mRvJ0+WUTTDFT02F71b03frAZ
wIfhKB6SKt5CcqxFI1kckekSWK/lThadinFkDNYxNSq9vIsKF7kljNAwHrg9JxlqF/GIGgX3NpxX
GLZLyquTTX0VltxwZW24D5ijWoegRIao7MT8XliIXiO35R1uD7qykFzcsh4jkRX6L3TCbxEInVNn
CFME9eywGjARwyvIrwxpEtS0iH9thIVfiLjlHOmxAzeCRSL5B5ffbQJ4nBfqhGUz6ONBQ++88DD8
mwvVOc51r82HIYhFie5yPn1HlMFCWx65VQR/aylHM1AhHXZCTZADTXG1eAM+W0wneqJaeBw6pORn
tDa+dqqDwSzSbXwjbGPs+a2ihUqws5qwdw8otY/iPtHj8omJhxnKzPqrOaPsFYN8h/TIg+mgL8pO
RVQ2mWN1iPKhivleLYf7cEBuEQ8t5z4zsVJ49VeEDsdrE5CsRcFEfuXfviLCfn2bZZnJE7fzPrvC
CR9LBAq+GHo/b6S5KxsGBr0LYxQwAfSRxVDtUKOzFHWmXxu5+x6ZmPxBqFZxtkeEDm/PauVAyEYW
VRmb5OQqm+3aCD5Zx1A0wscHkmvX18Qc3ScZDTp4l/qjjvnRxvxWIhnJJX1OVpIWmrn4csasN06A
JJmfF3bxNnbiO2wsSMKaAWS8EFsYw7U5/j7c4kAUmXxSU9fwZ/yuvLNwQwTX1BmzxJ3XclX1dEhx
ojEr9XB7cde+IxKZaAbw+qREusgxY6RTkRukyDtMo/olpVrzuVbD+mOW5vPz7aHkPbM49HRYeCGY
wKpA9Szm2GqonoS06Px6mtUDRUTMvDvjJyY7mHiNir4vMYD5Wbc0KG4PvLK4DOwA3eRjapByLo+F
laCj1Qet5qfCQYdn0JUPoKZ+lp3avxkFuEp70oqNdV3ZPx6FHyq+9N2JcYvJDm6FdLLDmH3QuFwU
CJQ85YAAk12r49JUTK5zvD3LlS8JTVyVgBG6LRRoL2fZIgvmdTMCpgNaSF80VbRvJjPBwpdW3sb7
cm1BJYmbr0kQp8x1OZSSQQ/LkXxAdlSoqIOKZnDFW0cUDn0Qoet7vXHd56GCLfT6OUJtNAw0mMik
LLnqvwW4uKb0Y5BE+k0QYCEkUEn9UGdKg7yalzcbyczagrJZKSjKbJlIcDlY4+gijWmu+0URuJ+M
cioxlogxjbDdeNrIEdfOhiWvQxD6gEWWiJsU+z6BBYzmO17QtPjAaf1Dn7kWal08RCnHyEhA00s/
oArQbYDmVxJUD8APuQbVYUZfJIjE1jmpGxNrA6tS+rvJycKzE6A1v6+nEJyYyHTzXR4Y9oe8t7qf
RUt96vZ3XZs+lUqJoqczyS9yudT4gjrW0NaGb6c5Mu1ZayXjySwz61uWNuqdhen4IQL557cTj7SN
wdemT70GtJNklF7hFwx97MbSHgzEwqIiO0yOEdaIXer1+9QDSmuWQfqAYYDt81ztD1Dht/BeaxuN
5y0KDFJViMv0cvYpXfdGQXUIRKdRIIQr1F1ceeZZQZ7jPwgSMIQlep784CpBj7Q0iRz0yv18iNBz
jNzulOPxepdXOJ3c/qZrEZAhAD3xgCezXBwfPSw0ZM4Sw8ev3gj3A+WTl2IAkrzD22V46LFrfv2Q
SC1wfqgxgktGm+ZyIUOrrNAKa2bi0tA/d3AmD/h2Yl7Dvx2/VQG6ZbfneB0IXXStUJeQOklS4udy
QATGGxuhwNnPND35DF4DlatA0Xapip1Tjl/iDhnmcSP6/ro7Li9SyMYGXRwp9kBpZHFaRl3FAzrt
JxRAQ7X0x37UHgbTCr4NsMrfZ8EUPYqwRRF7qgr7LPJkeEpxPD5Nvaf+fXsBrrcuWSBpAz196G5X
fdUelVNEIhQqf5gBfFChEX8vwAs+VUVdfLo91PUxJQuUYCauVF5Fy/RBN+gNJ00y+x1q24cx171D
hF/tocpb64MXdPlBHeJmx+3qnNt8DA63h7/ezjIJJULQYSVXWsLOQ5jSNuUwVDEQUSxQbUiRyEtA
NZCc6U392Pdes/GhV3aXZkjkBGUwUOju4rZzYUn3GBZOviZpGX1mNwejU7wDNi3zdzyQ6lOqO29v
T/M6EqPgTJXe5ZYl01yWjjEp08auRqKwaeP4Y5brz23glu+IhMpZGyI0R3n8+y7J8Ea4WNtJBD+w
wqCweYMuJhvmmHZ6UapivYr+kRj18EHJwPanIg03LvZrrL3rkrkArcDvh520LKy2omuywcLgwgAU
CqB2SFCYTzESdJugfMPmGXYZFrN+og/jnaOF07uYvOsDcqt4oYosfdJrJzzfXvi1j03Tkmo9MCwy
gMWhxl0swcyAUBLPkA0wBXUBo2PcFO4D7C0wV0Jo+K7wLHTfbg+89sVJpajWwJcDQa1fxrCkxMwr
GYfZb6tqeMQwSP8Lt9bszm2N/O9pbNRjieDBUUvNYWN/rx0pwhcIcZ33MSXuy5G1En2soEY3mXq/
eDO2WslcNeUTuljivonCYCOCrG0xDjFnygKLS+frcrwcoO7gxNhTQh/tjiOq1HtSP4wiRrfcuBjk
11qEaGIVq0nHnXi1rOiWOUa80iETidxRvKVBYSI4L4aPr/501Gvkm4q6FPnw4szUiABObptMuHfm
Y73Hr9C5qwsEczQlrY5IblJFamOBuygsD2Vj36xsWDI12L/kyDytljhgyrl131Kt8udwrnDPqus7
qxr0Nx3WZA+Uy7vdqI3l66Mw6QR3uwQrsXcWn9Ci5W/FcSEVVFs8XU0Tyw18oY9qb31001g/3V7g
X3iB5XcErUv+guyBxa17uWUM1Gz1FHNHn0Zpukf8OT1gVTkd58Gy31ZGV37VUH72JzxTDqOKK+Kh
aVT7hIdm+iHuKnTrUZQ0917No2jjV1vZzbTbibZU8XFjXxYkSeXoY7Zi8u3S0Z9TT5nvnL6r3wN9
K76HuMId1Ak51XRoos8Vr8YfCZY/KqKRZnnE8TI+zPgHPApi0VlNk2Fjd6xU/ime0LeSr2CT6v8i
nkEIr2bH6Ed/sMoWaZ1qGDI/RmbnS6sainN0FHxS721UMn4MYP/DfRkW6iPazCgRbKzUSpzhBGoq
jTuasoCILj9inlAcjkrq/1aPSyXueml47FB4fpCd9vmAmotxP2G3drbxSEbw3Ct+dNNUxYcSrTK/
dpTiCVyseYqdKn9MmwETvi5VrI2tvZLfEAVJpNCklM0C+fPf37Z97cD3Ukc/CcqREv1sxg/6VOYP
3JXeV6TdkdctUXtnKYup2qliCv66vVArJ1qSB2gWgLY3iMiXv4GFWB+OkSqHK7aw9guxy77H16D/
aGcuzZteILx9wK3Pff09AOOKISVtEeDK4h5IRK33dOzx6lO6CrvRBpvol6gxFCjUOvAHjN6dXL97
9WTpj2smdCtQbMby0WsFGuZY8aD6OA411ddQmaJzQtezPrl4BcS7sMUt6h6nm+nVlUWqiYRtKicE
MY7b5SoDQjSxRSqoDDVpVeOD4+HUYqR1Bos5UOYzjvVGuRUsZFxcxDFQZlLJlR49ac/ikof+qUOZ
TtGvL21U77RgSLEY7KoHr5++G2CQjonaPY9e2p9GdFb2NIC797cX/DpeUZ6AYMc9D+oEObzLeZtG
Mg8RlVofpJn+iWKRBZvOQsCpLdDyvj3WSvQB16KSxkoUBs3dxZGPPN476sxhmfWhLR9yAlThG1nk
fDG7pm2e8nma3KNnNpOJLzwkx30boMGNZ01ebtG5r3MBwCDOL0IX+S26mJcTH2IDaRPIGFizE1Z2
ba1FpxnLnI3Tex3lLoeRP/8tfoihglviGp0PvM0NcSZ1u4e2wtkAT4/2m5f05vH2Iq8NyIGlcgRu
gIbYYk+JxO6sMU97vOigTLoljkFYmUKiwgFxFwC32ciQ19YRxLz8nBQUULO7nCAmmxqAhLb3jb4J
n8q5LT7o1rh15V+HYUoVqGUYSDeRJWqLZQQz5w1F3vVYCdTtETJmau88LGie6VQ1z7PlBc91qhhP
ZRXmvt2r5vPtVV05JoxNdkOCakm8yeUsKW1E5pAwfpS3hY/3Fk7jom2fpnmqD7eHus78qXoZQD4I
RGROS/YDYtadPkOi8bF1SrFIqRLlU5Lrzn2oaVh7047HCaTQgxdeBulW1e1atE/W3CgNoT9Ev+qq
HVArWA2EumCiMeYWexxBggdnaNOHQhV2jfARirW/LBU/R3gl7wOz6v4Sdfcjj4TxoY3n7JBW0YjA
YO880iMS724vzto+gIwLZFbyS2GbX36HMhpNLIXynlZ2V1HRRmTonWKX0WlSKsPAN9p10LvrBySM
EkN9j6i7tZF8ru138gBUUgliPJMWv0HgFmbQePwGg4UD6y4KcgC7idtuVH/XjjEcT6D/8E3h0y/C
U4q1Xq/jMucritp/rEs1xWkSE9bp5M1zfexpG9/dXtrViVE4s39xNK679nFr4iRQcJC5mD+pox68
MWweKbdHWTtICISgwUTQgOGzCBfQuYuyjIiHRSbUg1ACx4/zHnOwUnk9foeiBah4KiZozfF8v9wr
QRwRbSMHwYzeTU7lMHi+HanRIQi9aiNXWpsVwkHUSChFMehiU3SlVmax4XU+iFKUXrtOHPRIx9g8
irYqMmsbwyGuS5FFnQLUcgGFaNzKIr5PGJw96KpIfIy/C8yeE1u6XAyvBvqTFYD1kjgVwPfLe5LG
RlF1+BH5ASQitL7z5tSMdehr2Lgdb++NlcinqyTZYCx4oJAEXn4wAFBGQj2t94XjIjkbzN4+LJQE
8EjfnvXQ45GgmMA1hzTYONQrL0qUiQh5YJFk/WkpWB3p4JtoA3W+qUTtxyKdnNjHlNPZaTHAvHNd
edoXZKZxwFbxUJv20UA5lVeoWUiDdUyp2M0dbmXcYOewgozo316alQ0m8atUOKnqSt2Sy6UpJ7dq
aaYNvonTwWmusy8V9kDohdsbAXYlClwMtIg7bcATfohAU87gBkYfFREsSwxhtRvVvutXDU9QuI2k
DeCg6EhcTqjDgHvoFLaxPs/qyev7hpevphwaEyVBVy3UNwp6ghuDrt1ucCltOgO8p6DcLXaYTlug
M1qMSrvEjsr9rEwYARtohu7dodC/K1WuomOhCsNPeGkOWL0Y5tvCqKp3VT2hSE3k6FKyqCB8SHh2
njgx46fbX3ptYUDRy64bEcVcCvCk2BHaZoVySqIp9ocMU9aDEXfKIUw9SivJ6PiYadsbUXltUIkD
pKtK/eZKkRNVffxXnaD3XTbzOYnKrxkwp4PAnvQO8zD8XgPon7cnKmPi5eOHzgS3gEV40QjRi50W
JO0M20Yh0/DC4otd9p9TBDJPcSWKR0X0wV2sOUhlTU35kAbpy+3BV7o1ZMccR/CP0gdlSa6t3CEQ
mi3vVygFrZ+3TfkmnpzQ203lZJ3iUmT7PFCH4xhr1XBuMuBCQ1sAdqWJvsVwWonp8g1GvwbIq8Rk
Xh4GfC6zsM80vnneZneE2PHNEOrfhNNM9/ZYt6fbk1+Ls2hzYP0iMzwgUIvhUpwTlRrviXm2xE+c
fuAvi7yyDtZQ48uOg2n8ECIR92a2Km/jOlmbqkvdh5Y2DSOylMuxZ0NNSiy1ha/Vk3fyIhWnaAud
k53nNfmhqYeNzomcy3KXoQXMZSKvFpg/l+OleRVpXsd4pKbjIcvxPFbspjymltNtvBHWlhUyLWVf
YPD8n0W+kRTzlOaYqfqxow/xoXUtfOgohmLf1bZnHiriBdVnPEyBaeufbn/SlQMseYwS1AtI8dqn
RQ/LNA8ZuysU+9gpQjqQYR/85PJv671ZJOJ+tGv3cHvYlTMMeIemJ8FDVhAWXzOy6oyj3cCADWO7
OKeqOmBZplBDiANlfDc6xlCfel0x3k9g2dFVaM2tF8vKqoMGoQhsy6YcMt6XH9jGzM+dlaD1FVek
R2/K3jtVj731rHdHtfKqO8T3I7/l8t44RSs7C1yEhLgS5dEIWhS9g9hpvEFkwleS2P2KN615yia9
oklVbEkZ6quThCZLCoCiMLSny0kW6uwGs4rvzjA61vcGA+N7OlP6qemz/m4WXeRHoR3tHS0u/uqw
RLQhQwDTmFUTD6TUDfpwBz1huOvH0fCLEDgigbVA3Rnkefu5rowIz6TC/nMI5thAcH3uv+awuQfW
cx7uuyyu94QJy91RlMJ1L7HrczTFW94aq7NEN1EW/2CxLnGZrhthadsOAj8qpfygjMN9hirbBMVU
b3b01icF38pxfqLmWm88flbCEuglnj6EJqDLy42s424YNU4rfIFd1Rci5/vaKMMW8CvoBCvSP94+
NytZFhUwye2Q8f5KcqSrEzcijxS+3Va8ouErdvouL7b0U9a2KAAi5gWPDbW0xRZ16jboi0gRvlp3
GGwUaR5jIFe1033l4u55e05rsQBIrbzFUPikS325R3F9Taysn3nZKeb0sXHNpng7iwBKeTe0xtNA
PWrC8kj0eFvyuj4MKRZ9t3+FFcIMuAuEFOhcIjBOUfPyd1DwWuh7Q4NfqVn1iLA/yrHoRVRt8GjP
BXiXJjSav1AJMfMnJ5p0aQnehyiGCO1HWk3pixbnw4/bv9RKaCbHpR1E4g7WcRmgotbL6szAxRio
5fCYJ9hX98ISxzwspkPctHq0Q01nS7hsZVT4xBK95JFb0Y+6XIlITz28J5Xa76vW/uTBMcNzsA7M
92qlm9OOpon3kEZd+frJ0jcGskoBy+DOXVy3jdv04FbRxe4TV233KWyhx7SkgbP3cEI5oC0NVIOb
auP4rs1WygECe6Y8yJV0OVtDjbXIDmb8ygvL+2TV+shDwgwSaAFNWB1VUXRHewzHjWF/lR0X2QWo
E3Io2WvFpnHxilELrUldXQGVn3K2ngytxZO+N7zs+0QN/V3iNUa6y6B5n7vJLOydltJR8IMhqXWQ
7hFGsy7SuL6G6jeqjNAW0DATWJPt5lIJX27vw5Vg8OvtKJvffJplJqRZaTRU3oDQVVPoOBCbmRdP
z7aBMkeObWPXbAWEtQEJ47QZeVgTWhc3Mwi2iqI6ylqqU4H1J43OHpqsiu9zgSDC/vbsVnYAh4s6
hdwCbPnFDuhGt3Ujrns/CBLrU9vYH8tqzp9cHIX9se6rY1yHWxnAyqWBzh2Z3q/qNxv+ctdNNCrN
tHJqfyoV7GGSrHXwE1cz9GftevhUe8N/UAaHkgyNXD4UZCngckTckc1ZiLyhkBUNKfyJZBbnyB1p
4qaxh17arCnRkxOaQ34/zLWpJLui0fVvt9d65cPC8kYgmz63zKkXax3TfQjypq59LQdgPDmNsVNC
hzgWYWh3vD3W2hojx0MTHP0TUrzFJvIyCgIc59qPkqZ/F2rZ9DFV+3zH0O6pmKtoo5K3so+gTuIT
geISacBShdYxKXWAQeFFmGn1W+T+cAod1SQakbcUyZ91FZDhuX2/Rb5ZyQikYg1EQxJpdMgWt6eR
aYmlt7TGYtA3hwhNCF9zeRzfXs2VL4e0JOVregsGcqaL8ByrXux4adX6WdqVUMzN6T7B9X0feWn9
+oWk80UTgZxKjrmY0FxOIu+NTvheYdX1LkwBdqVl6L5jBV7gFDlHGA7h4dXz87B2hKZFfxHVs8X8
AEyrpe6ixBwUzfzcT7jcIhWqgAXUko3Yv7IxkQiRSln/utoXQ7lpipx/XZHCdSL6OeR5c9ASVX2E
AuS8K0p9iwy8Nh7dBp53Mougcn559LusaBokr4Vfj6YjDlysyXxmjb0HUir9/dh21lZ8uyaE0XyA
fAbxGLYULdLFHCFGxlk/9RTp9Ay5g8FB5OE4UAfPk13ca2Xi161qfNRiZ07vtJ6i7jGcanEKe5VE
06zVwECsq7T07401Os0pVK3kxQ2sZjrmaFiSDwxNkr+dOY9SMMIInsO2CP+ORCWwg1O8Evzm7H7K
SjfP915Q6OHJzWgEbqSNV2eek8ANDpIInDnV50VU5ek2dlbcME1wL28Trih/NBp1l1XmfE6s/gfr
8PH2Rr0eEkI+ZQmp7gYXZamIEs0gINOitPw6ad3+AVASzzczw7t+R42gmY9KSppz3wHl2coMryIN
3VN6LzxduUFopC2id5vgcjdNoeW3CRoTh1A63ccBG+C1Z1GOQyDlPUCjHQ+Myw3bugEeCjU2NCib
DNNuQkp8PyiZ8TiNbv799nJeHQ7GgvECIlGSeb2luAo6HYXToc/uJ0YQnFyjcj43jfHcKVFwKPOO
a/DV48lMEwww70WVUu3l3HQnbzC1ZA0pKOVKt6vtwPsZRXGP+XbGFn7vGQW6B7cHvXoeSwwurX26
zyBkryodGFU3GuZQDKqGaKOrSevPVZL7TRN3/gRcZ2/hNfSnHhpbDjFyS1ykuYwME0Xy0dhwKAdf
TrfEYbhr48T226hWPvYhQLVzgnTGXg+rTTPKX6nacjS+JXKmpFbsz8XitnqXqfjBQzvx0GXdtSIy
H2sMyocdWUfyVnUhOe4CPdR5ntc6MtdWlCh/aqXlvsNMJv+p1znSB4yYGz4cmVmCPIsuukuThrTX
wzrsSU0jDZmKIBrvuwTS1E4XKnBJJxBlslMVhPj2fL/kq12m05fbX/G68kzDQ7WB+1A3k9CyxRvV
jCwSNjzS/CqM1UeoAvqw80YrL/k1m6TZDaPbWQeedtVDZzVoZTqT1SQ7ZYwdgS+J4eTn27/RdXVJ
/kaSCk81i6fqsqmutmbUUJ4skQ0z4+HAR03bY2yEs3JAhVGn4THPvEmKFmTCDn/47MXkvYM8ZIh9
3n5OVLvdN3i1NzsVDHyxsxHlLv15VE31GENDSPdxmyTPRa1maKYb9vSFerdV7QRq9emhxOTkw6Q7
qGBlqYk7BgbN4i6eBy/GZsDSIPdA1P9xe87XOxrhDiTU4a8iyUIl+nJHT1kN42oqKh/2n72fSj07
N7kA7zAPW52u69gEA4l2Dk8hWvlXnNW6gRcSokji627TfYl604bAZWsY86Dtt1N5DG7EidUdRpeL
N4JMFRBkuZwcnnRhLlGwvi6S4cAND0Y2a9IDiRGczr5ofKV21V2UzNZhBsBxLqYg2EdOGf8L8PXf
F17z7S/v+R9lNTUxeu+Lf/zfP6uX4r1oXl7E07fqf+Qf/X//6eUf/N+n+EdTtuVPsfyvLv4Qf/+/
x/e/iW8X/3AoRCymt91LM717wXBa/BogfCnlf/n/+8P/evn1t3yYqpd//vGj7Aoh/7YwLos//v2j
u7//+YdEq/7373/9v3/25lvOH9vPLz+i+NvyD7x8a8U//9Dcf6AhQEJMd49O2y8BtuHl10/0f+A5
RMGOeh28WENyG4uyEdE//7C0f6BTweNWNsfx6JU4vRZtAX5kuv/41UPjiqW4BB7a+OP//mLP/wqr
//okrMO///m/ii5/LiHxt//8Q0dS7yLacxhIC2iDS0owg/HXXm6fCc0ThXp/sY+b0n1fFsmfqPt4
Z16EHwn67R2Nm3o3JSoqBDEmE03nfDPyyn2Oc9X5Pxxd13Kkuhb9IlWRBOiV1DnY7TR+oew5YwlJ
gAgiff1dvo9T55Rn3A3S3ivmmjCZ9fG3E6inqqtyvtSpMsFwnkyLNXEMLltLmyuUBqeolsCSFzz/
iCm6RlY4iHlpD9uA+I3JN9B6LifdD3swODTZWC5hGU5Ye+l5e0FFaAKa8oI4+8+wdv62c7kPxv5n
IOwSDf7RMdGz8KbCBrnQb4L9a5fTxN7GzdnTEnb/YyOrsxu/qs6/YiJaky4ADItihxICG9MknU//
MvONf1068YsTqgasL1p5q/o+ohPK8fA2ySqpujc9NYdVLXlsCx+08IACEyQwpnJ7bPriwfo0qhLD
LfkrlfO6hdthZts1ZiZZunpP2MsMWV7o0Zvs/2xIxjJoY0W0cLLVU4KuJDizLxBD9mGFpNFvEBmr
fcPLvcNniUSFhFWXxb9647FzcBzHTZsM9B/h5KUZrJfW8DXr4L6SMnPJ8NLzL1wCUJmmXD/A66fa
k3u3W4oVeS9NWN5nseXAuuG3cS4iMPvN4QEUiwG9YL7fEdr/LRd+HHwcW9NCM4S2nyNnvom1Txbo
dKeq+lY9Wk2+WqN8uO3qdAXR0BBIKbxdxc3T2rjoHSepT27BKE3K53o8IGZZPnH8tQKdGco/+tO9
994kTn9L19TMd408CGmSZppQWAB+XgsmDoAuz5NyvVQRntKyf+a6Av9xRw1iLiJc/H1/5+GE8DTM
YbD77QYfBYlG4k9krf8sLW+TKFyfeBuf/MnRSVTFSRNvwAohO8HVVZjZeR4oPuRNqQ9/WX87QNo0
2Nwf1/kXuGOUee10WeWbM9TYeHQ6RHXaT+8Gct/DaFQqqcocqVDotXqvQ7kkUxkmsyNRoYwGpu3A
xikBvX+qgk4icrBF1/HFD+2PjJYrQOOs6SksXe2uRGQiVX9q02cTWOghrrEvDJgWTqt4gDHNAF9n
ln6tVr/2nO25LBNt64w6032QBhkl8RnmqhSrSB6iXLkR/wl3Q0aDfh89+yir5uDpKcGmla3reGXr
S4vQ1aCiT0NkANvpA6op9rM/X9bW+YtC3z9idf/K/oNt+4EAcRvRHFb3h6B9i/roODVZXDe3nkYP
60OwuACWqh08hiEKPlX5VE71j+AU38q4VilyRlw85RaSYHq12zR+RV7/l/XtESnQ+DLGohFOj22z
TRYSAKgU3TFeJcJwy3cW4yUh1P8ZmPMPyqwpqeKJ5drFMVFWudjkySM6B7KZSV7f2SZyZ4mfFku6
oqabAT/gNIU7L49I8j+MApvmnYpuZPU9NMnGB4Fq4nTl8PqtMeHFIvRtiVibuVP/uuI96hecDY7e
O3ObNM2fzeQVpR+qbPYdiuRwiDyq8a9brog7qbcsROzJYsS3G3dXEa2JN082FXarEqUh7q4IwRFU
BttNQ8H7jHN0hpxsPbsNXmtgVf/NTowrHDlgkXdCTm33aAU5V4BDDjjQg123vqIAJt0Cb7p3PPoo
3RpYdBs8VIT+0a2q8gAy3STWfYepYwAjqxOwa94TFK3AtdRuQ9tIEy7xMdYz4HJutn3ZRwh3hRCl
2JB7fIzsLMHbVJ+Isj21iLuxbXmLp5YkRJ3Bs64vtHbee73elZRQyNCriz6wMjhZwrfMTNW/UZDn
bYbvqmLhvx7kTIoSpBgGcin2DHKqfNaxPPYBwoNqutwnS8kfH2S2xhcfq3SlngVzaUeMobIrwg72
7xVvU0DKczlv/bXquiWpJzB3JtDniJbdvhzXGW3razNexy6oLhW6YxLF0PhcIdUYrheUlMYIEXCM
/xpBPnyQpRMe4pGFD9JT6MPRFI/z27mUmJI+RtsMRRgu1Vs/mrmgqzBPeEBkjhqL6oyO6+XEgU9n
fAjafaiHFo0Fpss1Jx0cjWJDzEZY4laUKu3c7QIOuei2Hl8eiTNixY77JMWx9pc6MwwBsl8TWznq
weMSJibbxzkXpj24m9GJ1/5nRv5wCdn7HVwZq/c8VK1/LoORZ9iLbN7jxLr3EdLgwomFzbX3g7Hw
xTh9C4Liq00Hq3v4ddYnmEcozluvuUZzDIpmm7obqipsvoYviEg0B/gPcD6uSMVa+I//e/1x7zNo
HCdDm2fGZr8+KoMOIh0jyrQySR10ZbIuSh3GqAny0G51Jlb1Z1yEUyBTa0wiJt4118nq+Ge+oN8h
WKMHrHPNJYik+js6DUkMmeUR8bBx0tbIaOzkYrLVBYMWdCzGJ6Pd3dy1YYHPHWNB6H3XUnZJwF08
sGGnC9IOdxqQKafItk4DQ8acmhrcW/f703zrIKqwr29N4335rl521MA+PAixr7v4Zfa9G1biGUsX
7c7WwaAQvUFyz3YbX32k0aFwgLTrN8rELE4JiGZiOpepM8TrHnptbzfgq05Jd1kXVD1gWNp++Fi5
GSO9k8I2/L41zX9TyJ8U7ZxcxDVOA09f3FW++tVwGPh6EbX7tMGW5UOVNVL74vV1Bmtb0pXb3yVS
ny0MvxUxux4fe1XpHfXjXQiPX7UAXT0vS5hBmIqZiR4h5t4x1acCTlWJoLm2LtN5EMetjqsEkvMd
0lhwUXWXlqojynRunFnEM926ge4bFEK2xuyQNZGTSVVJicFtCNycIJkmCVxzxWePCeJBkGxyNLqJ
/rTlMJ22aeM8ZQLPv3Am96YJ8tQG+Hq3pI5+2cG6RyYwRArl4dfJuFPcW4q+gTttFC3xk3EOmiof
u82pM6yDOg+2wXSJP0x0zyMEdRMECcuU9i47QsMQnaBvC78VwQApnLI9TT0yegQfnR24IPEE2QFu
RuG1uhimGs1haJ/ehVyzwqsR4zOBlc39wXPTYcPF1LBuO00iIM+uYHJn543urVDueepb+blWW/fc
YpvJUe2GKQnK9/LRlW0zJ/5ax9AQSj9IG4isbkDW1KEz1NlLvXTvfbBsSTD7oUqcqZpStEs1yBMx
64vcVvfSM2qPA1iIn9qFQrEd5/EJqbNfdG4ATehOjlckSHXJwlvMM3XnkKushYJzrqleHDs7Bx+/
ejIJJ3rC/gC39MTpAdn0Zr+wrstbMqGgsvRGnHzIAg3nhaYoKquPfeXh9ohgMi9wfvj+3jf+ftEh
P06s+vCGYQkKF2FS7y5MS+k2uRDVRKgEYuGiOO7/wbc4oyORSBOXr+Fk2SEgDRoTODpGeF9iTFnR
DO0i4vjUoC4u2STz331Zlx+oTtJH35/nJq3rDaOiWaOvbcJgTDqX/x5Og93NUW0vC+TAHz3T8WFx
UYeMK7RGDFqjDbLFgNbul4kEyHUdP2k4OjgQfZJFxAYXrwU2xOiOLu2YcF5lfRgXXe9l1iHHjk9N
Squl3uGTJAhlJpeyaa9xv7wFSJZDuM3VW8D0pQLymRPGd6Q1T82WypVsiVXlpx/MBUALB36x5gz+
5swEbsA11gfHti/xXL/6eivQ94pLacHx1L7gXj36Q5w7zTRmCAHUOeXyD7Gum4TEheYwMjmoDASu
yeEOPAwSBdukYAURPIXzMpGIcdZeezGuOLDhC89gC/BkNjkL+VurFrQ1lbehI8gJkM5wgOIewVwx
utWVB+5sJJKj2Sl432ZE19jJw4eP9Ezlxd9sCSfcA+i3DNeqOiIA3bx4XgeD6rIFLxtqRVPIa1kS
ztj8Aul6RSvdPjOyf930xp6VUmPS8C1GPE14rCOW2SriRYn6tlvX2zUxCg8+PG9l4kSlyRdDjjwK
Cs+w59X9RDdM6iODkU79rnSaFDdKHtVIe2kafDJycRLmmQQFOjuU0KWzwqc3QedF240n3YCvtiE7
lLTxK3On/yzyapIYE3YmtNMXusKjDg0dmfFWVT1+Q/zC2AFmdXI2OHuWqeWgqpXNkLyDG8OQ+tSM
/Ajv+pWTwR4bePGMQC5eBQXMDgDlCD2b2BnSZ3QISuDpodiSshmgM5zqGotKHzUFbofooiaK+crj
1Z5Wvv/u9DgSBrSJaSgChrD47b686rEJc+g/u5vwqymH2afK6pLHJ6xyeAnc0qsLj2tZtI4O9khb
EUdS6eZ1IQifgCpC3LWnZToKP3r3tV13odP3u7E0FRjMbWHvXcy3eziF06tEQMgDCXjeHj1EY2H7
cqxQScnou0dHfRFTJy+6IezRaAKnWqsDhB1B/od1Zu4OqH6u32fAQS9cN/XXEunxe8J8cRw3S45O
KNyhsJ07vrIpsjerGnTMoe/6MwQHqFNEpEw7IJ3TmlBWsyubw/FjpF75UL3kzyghwUU0DSXmXK+s
6hfrr/4n4Eehst+c7iZZIGPJfGaWvZWqTD2viV5o33lF3KjlqqhxTptbYQWL8GCGUe0+EBpE0FjT
k0sT8PVQw8l6LVVFvTQIDY56qf3RycatC8849LfTFgTY2mLaN++oAyjx0KxrOjl98ICYVnwsLIKa
xxfr8G4ZHb0i2BbvDQDCcui5DPK4Vm1OqIQwj1SHhVf9mLCx954XF71j2GMtzbxmVfhoJlzMKNNK
vbgSb4hSDPIubPideZP4scHE3GTggQIA224Wj1Ykyt1GO/TqlZ5bbDbCZhgRs54U47gTmIqPwzKV
ydI2edMNfi7n5izw1FZsObiLhElkSxDvMGRqASgRjMiOIv0d9+yQzBOmA3QbJtJCJFQLrDCqzHQ5
V3t3IXWKEVMkfrO5/8H8FEIIWGad8qt0WmT9b7XVeJ20PFRlPeUNFvTcUjfhJYlzxdRHW3p6h8Lj
YmZBLqGPSSJVPUk6sETEM8Yu9adpF4rV3Pvo6/pqKPQwljj8BTIyDc9FCcih6S3mBpTSmV9rqp6x
Voof+O9wP9Bkss67FeWBWZ3PgWtBo01T0nvbMUapdzZq/7g0HRSoaC9Kaj2fAfkWk4r6hGEB802d
YRv93R+f4ujXW7ihOQqiGAZf7FO4vUq6JSt6IRTwpDhQGWoEXpxqBDjgty0MONvBido97Xs3sbOL
Ku3RNRfP/Bu929Zi0qK/4SWyvgL1iFIo/FEjujhtim7Lg4g6k4Rxxtip6grf6zTeoWpMBof/k25T
yDr6Z5ZKvzY1uQzL3OdRh+5sVpfB3vUGTNnICkyUNDdsUgh7UP8R1Fskvi1B7g1jofjyBbb8jkMO
Z/wIsY9v/lunJnfMB5zNaIgHXCLLaU6bFpsAeCQsZXKKcSAougs3iMNnF0nPISFvCDDKh7rDTsrA
TvSbPTkqdItOiN1QhizvYw7PiII7TtUACWmJ767nRRCffV1wKf90oXvjQPOJYHNWWdyZnKg11aSM
kczUBjvcOnHSayQ69CDuCiEAonSr8fO6rbt9h1corb12eEIgscSRH+NoqRPjDi+qXc6ljTFVqvat
513GTPwFWeSEhocGqdGOukxqzyxQiRGJwp7aLi44XgFmWUh24aXjp0g4UftOIvbAlAPNB8QjZANb
v0vtnC30dFec2XOOjutTUKFf2u1bljcMCkMgvamm4uwAB8pDHsgvjq5SDERd+761y487j7TYfhdP
p9cy57F3VWNwZJxlADO+dAUmKOAhHJOkAXDmujfbhOyyzP5yU0Mf7ebWZJ5YT4jSym1lPdxK9McJ
G1wyEbtAxjIkUfRgMFC8oWUzyiHuasC2jsg4NXpOlgnEkiNMnIx6oWcCxOkBZmRKeTeLdBzGa6+2
XVjxJ4hQ8ZpP3tuKXTvvNnb1PY7PC6nMDiAZ9BYOQQMSAQRZy19V6+sda2x4Cj1w/WMjDsPWFnGJ
p7QXyx2GVfpSA16sYp8UvN42MBEi2rVtFxVeu8qdbCKdYI6Pn4hQf7uZ32F+PeJf8oY78UIGWKaj
+IvpBrgWqCgsL7gbS14daBWk0FxW6WIQNwXB8L0rGeBFyniCzJGdVyIjL2zGLl+D+MQw8XTNsn7i
snIx21f5BCjobJULENVzZDY7a3+f4PW4YTS4uONwQredn00zQjjjWT4hySM6wh31z52Eyqdw+xvS
6jdHhMePRW947VX7RHxUg6NP2hZc9+1TqDqF2aO1OoEfNi4GtXlHQw09r5rxWwsKeT+4rCoqhD4n
ztq0aQf7IC6uuw5Lk1YmfPOt2s0rhP1eZMwdF88ONBrbu1tMb6hXF0mDMzii8uaG9SNG1+M6+f9N
Zvv/rYRvpFy7DI+oSjVGG/iHulcaLWrPA5yoaMhDdQCcsl422u7NDz+rAEg0Xxz/JuyBly3C9Z4m
oXPtfBHgcI+4pXOCjOTuCI1Cn2DzCh6rt6pdjNi4l6Yc2mSLF3uTjU9yt1WHHrL1C0U7UI7CuD82
7jAYVv0bskahyoX1w7foOUv8GZo5yAVTuKwEftMFYbzOopDPi/9oPaFOwpRZ49wmjy5HSVoEXqko
iaMJZTEEQGmXO2Eb5ErghZChzzDirhqDCkBZ2x0ghT04LkE3QJVMfpuYeEm96hVDr5dOvbfveoL2
YDrmEvm1G2DXdxDhw0UMgiZBHdF06CzS44Zp1+PMVfKXOg7gqvCw7fv1vh8BipgQfMWH6sYmoV1L
T007wDJZ2WDfBAzJAsCiX9tfxziuSwoB2Yp7UJofAYXu0qouR6SlAFGyySL07IBNTxB6dJBYh5S8
yCmGsf7r8eikuua8hNw/IOvko1+5c5ps2B+Vmg91zQ2yMuooseU2wQBtoDR1N9QG2MH9Fzt63M2e
Pevfjx3pexx7dHecKvQxuOuaT56Pz7L/Zm4p24SUS5k2dD7PMR5yFEkcQdP0RR0jkN/vPX6s3eEv
4pKHF1mG/9DSl008OFogyLNoSDFZgRuJszm1EhxW0qD2IltUPXx3Mf1CvgaDTnLyX+DCesFjcEcJ
V4Vga/4P0493Rif70Z9DelooOfEJ1VwOBwTMVphq4MXjGDmQoqMRSubKIBGWzAduYEtAxHmTIuPp
guCsO/RMt5Dzd/RAAnII6h3duNx10jvWvGoSqBdBNNfi7Mn5GNThnBKP/Vr/gJUB6URKkvRxVNG8
ruVRDTNLfHkR9gjyPVIvjbqMpr9hTc3gdSrKNQpx94e6iNCLjfQaJJCTCD0irZfV2H6BGRax6S/o
lLpNgftkCfBMAUJ27DdUFVN2A3m8JEhoXwqm/5E4QQ73nKAqjKQtshzSthr2vjPel1E+6Aj1NLXz
ze27Yz8jljfw1qtFPo/pnP/KsMJJX1V01yFhKpX4H26RRR2PCsc63WiA9wwxcjr6dHrnB6P2PiJx
g6QkW5A1frBOnpu1uqF76r8mQAlMPAQsqdraQBVA59tK+KlfscGZaHsfOXWSGMR23Vxrop8YHyHi
wrG1od3EX38dTzLb2LALF3ac2cAgdgJ04M4N0jbWpyl2bgZ33uy8dhFezAaFpDWCftQQZ1TzvO6H
B77WBINSnZYThqShZPdV/b7AEIdMLt64ule3oN1OdvWyCN8m5wDEmg23RlSK/zzBL26DrReGAQDA
uj1wqMPh7UdfOzjIqEdkHr+Hv/g88s0gAQtzZ5W3qUWcYezj5bey3W6Vi1dq9tsyUzaiB2AqH6xr
n9oJv8uysENjQUbxXbcRg38r2dWU/fHxIy2e6RnybzLa/9DhmESdA2NLocMrY3UBu04BWcalK7sU
0olCY2s0KPzS7h/tuQsa/75nUX4ifQlC8Tnfmtzz3Je1v4QNuQSLPUJyhVJIsrdTdKuq8tSWcYer
WEqMgFVawwmX98DaHmGLFz+AKjITXQf4LcSqrJ3twUDsvnTDQh8GrVApUh/cF7+dpQCFyMspAWDV
nrAsH4MmVljVyjrlFvvdGqCrB8rLJ4n9Awh1MGReh2g8dyMHDtX6vnPjf6zB0eiCvE0ab9OZbiHr
kNMKc1jXp0i1cNNfE8JkZAydDZYgYxt96GqZscneVAW5i+usDHMg+k5KhNEo2x+J5k+9RGhzHNwE
0QpZdPWOKGdMAjaekPsmjiwgMGzG/B0ZFLe1hyaR9zozeongB6NRwgEkobZRT/h8llMNDPFVtt0P
Ej3nZI2wd8oNfwGZ2QO9hFDFwWeVDY0OdsQPzIl4414GOmun7bn2vCTGpvI0DYF8QpclCDQG30ti
UCF39Rg5GzEUtRpvW+clAon9pNp24/p3LLubQyEQLfeIsUDNkMYe14MR1sj/GrxdsDbPMQpPPCgg
mfoP4qcCYz2ixxVOFhxdh0rKorHTDkGyRQW4DelmYLnDgkkfU0afNMZBNMVZulMatacREhcRvIRq
uPk4zrnorhVKNRY0yMCbZ36/teAPxGpDbgcVpKNV3hsZQ54i+gG7zDyXZZSiGGpKIPMtqvBFcDQK
92+BXouSqqsIeMH7g5wyvZxpJHYB/8uwhtuVpsgMx0I3gKrxYPH88ZDXMfULfiuWU1V9hONS+ONf
ERSObz607L/Kldyd+VdbgJIi9H9sCE8wCq7Q8ayVlzrVVwOzlMG6KXEMd2Mh0bE+Slx1AGV0+Keu
NY6LqYJWnCE5sjpGFN9+5Oiso1X5YrrWgsUHcqcCN0pDyMwOqLwDm12a0HmWOuKPHgFT9wYamdSg
8eAwoKlpBykHkkb8vvp2kBi4ayyeaGJxDqX9MLs5mPpWJR2gBfCPlROf4LcLfrUE+FVXsV6MscOx
9Jt5N07UQI7YBG9N5WF5WwYc9dIDnshQ6pPDongLZOP+oRHeYGrWEcCt5j9DEPGDo3BEy8Bp3607
ImR2dgQ8LjI2z4suw3TT8qa5GyeqkjXetSBej0ska/z44Q47n3pZMNTDjqozmFRA5NGPjpX7qG4f
sievEarwwPSjim81uWkdsF4ah2jr2acBOkhcVm8gzNFeuQZtUs5NmdRYE5qKpIhB4wmw6fII5WCX
qVL/9WR4B1n35k3BwRPQRlOFFcOIZOw1YEFs8jZ8HuP4iPwluzMLvbEIWC7Ewjenwtsy/NatGTBf
pvzAKV9BNm6BCSMdGfvLREEDRuW8JJ2Dt2UWewMWI/Ba9B75MCOg2CSJ2/rez+N+Y/6V6+DW0eiT
ePTZn8lR+uMZleI7SWek0g6zwle5kT3CNu+6DSPMhfwBvf+x9sePALcrdKsbbnCo9vZGkwL4KNR6
gXh0i3+vHZHFBKh06/vpvIBvtKBpXHUpUV4IlNB+U/XTu5akDob7FFsqlCSAeH21DNAhRj+jAJ5V
zrjauK+hXjAZrMw6XRcMp3qiiSDiGvj2KUa1AUR45Q510J+WKZkYbv6hTe3bd1qM12F17Bev2fkN
2Zecjsksln1D3J0fdEW08SMLQfuUFAUpLZILSvaGwfDqu0RiQqjui8Mwb65XpNEka0mXpKrrs/Rx
nUL5ibev58AIfs9kF9lKpYB/CYFZzQCEpEUwDUJR1QdSBXexmI5IUfslFMvENCxzWqN3hmJlKcfP
1dQ3+ZvrCp/OwxEhQVhvDF6yfLb+ljra+2yC9RCM9jY2suDAKkphfryAOAX32EuFhOp56IqRRHkP
RXUWWGTCNYhJjNYG3aP14ueb9FgqIPFG71VwXTApjrV/n+rhEKJ7LMUy+eUKkDNOSD5dGLIAM7o/
0l1Z2sj/s94AkWN7F4t7K9lyhRr8RuYSHs3xwyPDrZn6gkTrc8S+mS0q7VxBF5o0GlUOJR5qLRnL
EGCbjth94FHZa1n9o6BD3TbpXLyTDpyG3oRRw71oENTBAIgFAXoS4Nri6ufVPuLosFbePm7qp6V+
eIpk4xj+SgEoB01G+xRLKta2Uh04W07dGqlczB5NFmhKE9lUp2gbdN655U1CzwaeD6jVtrWgkbDZ
AlHGcOuMw1KYLtrJiKEqXWFzZ1qkDlTvKa/D/8hWnyH9eFBb5WRzaxTcTH7iAK0bBx+EjFwLsQA3
R7M8LF18/NBmhU03+I/34xGC3WdQa4hUiy/AOI5YV1fwYeA1sV8mLXz3KdqOop2P6M6oaXeroTvL
hhhcUO9mcrTerkFSbFKRyeCRAwOJMUwnXTudbez8F0ibICTxtTP1dxnVp5VN/6zu/iOk3Dm25FkI
GUHq2f7vGMsngmyODHfrc0wxbU/hoYKCOPT4mckBNJROFyvB6P04CJvIg+jfoOLXflHXwV1/Ea/a
u/a6O4/jeBPzhgpm+APMxOBDaHGO2q09tQIQZLtA4mKk/sCQe3C6/ktb8TEPpQ8eIjots/u2Tt1P
AyIXrV41nCiKvCAWNXEBQO229d9GB5uoFqck9+IU4ehfgI87qJECm6Nr/o67+OjF6x3m6BQDxu5X
lRFptwCpjzCYWiDo1aotifGN0tU7y6a+AbKLUqFEm8Dtd0b424g/kTYV7vpTWfBWPSbVcUakj3bA
zOrBZJzwcz+Y6De7lSWDN8IhOlR1GlkgeO1KDnE3OUkIhQwe5eVYQd+L8hMgt9CmuIUJ2Q12B+dc
KrQv4TOqX4dQp61HvuFWgyBKvFgS7dxqwk+cpMh9FYtTJVZ8fAasGIchF8+je2pAPKR9x9t07NG6
VeJdxfWAsntoe3Z9OAVp6VU/VLLHGliA09IDblfvGJ8+RyT5xcG5gakSRzY+aCGrLJr6z6ZfzgH2
BFGYYC2TwECSEdI3hrIYkKQUKAfiM9eJVMnaiC/Sy1e6BOLULMzLlKfpt0+cn7CBLlu4X/OMPas2
5o9XyXO1LhpsBP8lpL7HwfvTOl1KwZxKCIlRqO1CTdThhPvYkJyXzRpDlO/V5xKZwJ2sDogQvuPr
OqHgDx33Eb1LVAQZB0+TB05CQ/OgS5Os4maHCxOoRHmrIhlkYxgepGeOfOv3XTc9x1qbg2PwalG3
fKFjCHGEhQhmdSFqZPMx9JcPKrvwikQvOE1H57GZFUE29cldputYRS+dh4/Q94pI9EUARCyZ65Ds
RoIph/t/yvapJ9C6GQZTig83d2fBZ9XiuQM2DUguCQR7cqFrHPnyjnrHT7RQ+7txlo+BqL8TBIdl
9M/H2DCA5J2pD/6DHlE5RuadUYeVGqgVwLoqffl9LWRbaLGlXL5a8HrMPlfAA+ZcBSjNxF7rgOQw
MtmAiPgrpIYrMKOxrrxjQ61zROb9WUSQhMVO/ipY+j/2zqy5bWPv019lau47BTT2W5IgKVL7Lt2g
ZEvGvi/dwKefB8mZvLHfM0mdy5maqlRSdmyJIgF09295/uaNszrshNHi/K5N3OQxbZPovjP4QYmk
Gic5D+kXzLPlWI6W+Mq9Ig+LZKoeFuKPP6zEZ4WRA5BtVqJSpcl1Wjpq3knHtLFa5+ElJ6R1TYq2
PFQ+hFaxjNl5FoN/MS+ttfeTqmewXZJclpRvv0UVCflEcG61oo4uMHbmHsRMdxTMTtgw6Ct6VW78
EQVkWZzsw2vxkuRQ93gtA0aP8GRIHLC5nJKluyqyJL/2rNK4MPvpuYfRxQYKFTS0RPXsNbmDOS5H
62QWfoyhmX92cbflmRsmsdjTPtrp0d0llXlT98nL7E+E2Nxn5ssmOxgS7XqIuvUqKXei4vlmYa4/
tpkr7sYA4dP6qNlYbJvU2+SjcZU1OfBFZxOP0VEgQBzRkcQBR7kMW3uxjuk03Lapd98lfnqv3GZH
94S8lKz0qSMovdNFn2w85qfUrvmapsO5lt+z0dimEycQnJkBt3nAj8/yQz7HG41HFRnpq29cqSjY
TOoSjs/ew3OJ3Vug6EdM8U3Lxs4zv4TCW0zEMRvFbrbadyv7ttANydJn7tstenBAWGh5F+k0A01B
7Yt7QUKkJ0Ljz8uH5UXMzyJy6ri1u40w2Nkteqfci0OUkus4ay4ciYk7xwQGZfrSBdGwnl5anirx
bsn60NZsm7KKOJa4rX1ODDz4ZLqzJZSf8rb17Gnvp2NoFUb0mpNv3Fs1G2tB2FEVyU4v9UtSHaYm
PdfpfJetYpLOYEgr4fcXc8+IEFMbKM7TQzEGlxENvE08BNVu8VN9IZcsDmPm3e66JEeTIjd7GxnC
f0YZTPbgT9n3NwxKCJSxn6rVByC3ljc5UVDb8nYURUIT5jxjg1IqCz5La6Fdb1MUCiJHchXny54Z
Fy/L0J37gWxuBTZpjgkrZ8FnIHlEIq+IN8/UjBpPnPgKagjSvFjOolaHqZgPOZNKORfn/ibNoBG5
PU0YpqtGRMOiz0TiAA7kXEUwXbVjcukNX2lvEMyx2SLZzrxsR118sORy6yjSb7V+rZY6rBnZvPVZ
0rHK840K6mYztWzMSvO7l33vmp4UOuNwlcf+f+QXDpHRjcMmu2i6YdsYPYprUWQ8SJQfplaTXJOk
o9vNulh6HsroWIdxED/OtF9CKIfeV9k11c5Ab9vFZnPC/r/qUuMZhzvZjnahSFw75RzmRV/yKrBp
f28W/P+Oxf+EJ/h3JYtbmhFj/FH8tWXx+1/5o2Yh3N8AsEMIdTFq1qreSur8o2chLPM39F8molMu
k2sb+s+ehS1/g7lGb8ZhqomxFm3/7FlYxm9rHU3C/Fw7hmsF4z/oWawFo/8qufEdqAJRulpHLFiB
axq/lCxUXRULwXdvG/e5d00VJ0VKitq9P8UAEqqU2F4DwQJdIU+vjNFNHv7yXv27nsf6DX56AZSX
4ToGtJLokv232ZKK9lmVUKTe8krFk+iR8Nh/23zXSl8Qimw3TT2bYCKGPr12SuHRWBBdEC7+tCYG
BfexdtzmuZzdtyht+mbDkVg9yjibloNoYDYS5fPCSrv/hC/7BSPNe0eahY73CupZwezmL3XE1p1r
Csso36476/I4Q/9w933arCoeRbLXuSUyxVFdmPxM0SLTi9rSZn6eNXb59u/fx59LmbwWQGZwBAHZ
A/unnfPLaxF5QGJHQk3TjiNKAkij6R7RXF0mijMFtd7kVYyhbsYphneeGM0/QsR/rhL//m5QlAyg
QTA7RdLs5YP+C2G6nece3qRFqom2yhKioPocLmccgb02k+xb5uM9Q58jZh0xPhB6O8mI6AjDlmCk
bso0OdVOzQIoBXOsseI5C4aFitvgwFzvtIcxqlT7DyCCX4Cb6/sGXJ7bkpEqBMZgtvz8qqcFgrNJ
PW3bOiB0OZ8tFZk0HehNjvQhOInXQZacyMNP4ra058Au0I1qjccw1m50z9ZcIf7ZhXBDortI1CLj
Efz895/uv3uZXG5wbBhLAwDa/aVK5wepmxrRMqLgIGsievjjg9HV+b4ZDSPeGkjf5raTYy2P2SJk
ct0sOskOOm6aCNthaXUIsNkkaFm1/poXs5T8B6q69d/uZMaEuMyKoVq4sgN/RbhzmUsgibLmZOrE
3Q3kxqbbZslQB5txVu6yQ0qklzwFTJfwCKdiOPjFtLcF3tWxGptp3MQKAYSgyvith2y6txudq3Pr
FN+yFrd1Q8Szu6+dAfeWavnquLZC2LsOdcQI5y6I7XBEYpluOuVEzqGT0o2e9NirJy9yCmdjjF7f
79yxZC/6Dx+Q/PUx5jHhfm2tSkIt1Fh/+YC8pSBKNXrkytiNZVsOVTEpIcOIWPuNMs42ddSS21HK
prkwS+Ml8SfrctW0IqZjuVUE/CnjYPT3Lwuy0y+vy+PJaoErAQfoUEj/dV5wGwxq9O0539hdXXgX
Zk1wTg2zxuJQpLa/ZbLs2OhQvhnPBS2oKmUeLnktpLN58G8ZocVsZnPS6sLDv9hOk9j3Wdc9j2R8
H2creAWrYV0UUaooB5Wjye6tbLyw7zjuBgPuYVqBLPFkhX9ls4tK5VCdOr8cDpbRZfRIfOOxnqpP
pijCDvaKpyJe3GsOWUQKjLXPIKjvb2kh4L21KpyRFGrTHjCLLLWn4fFjat12MzbVuza6Od/Jsm7O
SnR9BHfQNo6ySwqc/K48dwRp2fYZxr5qB4rVXC7JZ94JnOmp5fVyqbLT7A2dsPFNW+cKhl+/B6zO
ztMbx9Os9f1CTZxqhGEfl0Y3D2z4H/qlIWDGFXEsdLZgiRUctv2oygFrtQ2ysut/CPCEW4ZFJFdR
SfBedpH7zqOUCltn7xjFHhxpNMVHp5LVSbectKbYI8ysB9MzyfOgVe2KWDovrRvrbe6JBwAjyCPZ
UJGonuMDp+lyX6ZeR0SJtIk3KHXf1PIpiNr8RkIGAh/MGWYWLRC7sjuItLqcYwGcgMmq791kx2s1
KiPrZmRUE0+OcpWDWJuPX3ps288Sz9bRfehbfX7oC13cAjnUYetH5UNDyjmVgd4bY/VlEYrsOZNo
pvDqvLccWhXuOli5y74ZndksW73gPtCmi7If/dB7nwRNnNvAHt2XTkf+F+P5qmFruGrauByYru2M
xmHTX7HvkHY5Xrj0uo9Ma6HJaFRng+DeRWPKCo+JzyFckUUAgz0r2GU68agVxemdGgaM+aWLLizO
OvVBgZu4nuCCbRhd14G4CqaDO6n6giC0u2MwTXWQk5s8W3N0iKvFOmdxpMIgUPYpzhOcElXixI1T
Ul0MTMI6LnNDykE4U/3UtNP3KY87GgtO1X2Qjeq+SUWUjjCevXDCkhW+OcXUAUEHHZmdDUUpUtEf
QRXPhxGdfZMOKWnhvhleBIjCLYt5avAEN1l3fCnI6k1upm79YDSGrWlalCXGgiGrbm6PGXdSTi0o
53jUXSS9Tg8jWc7NWKavMf20B3/oIpoTc/uNB2t+VLZs32EdFrftpBQubtRtaH2Af3WpzG5Kjls5
D1hO3LGkWem5yLw+J3NjkZj7QubyyUknhSsT8yyni0SGKTeji7Id88s5b5crvLt1jIeRb2WSXhUO
iIogsYNj5bjG2ZqoTqRUHA+tGr815AKfTMkVS4BF6pNK3W4/+T01xdIuTgRAb0s1vQ3EUffa8LuL
YPYTh8iRS3lcmuqtXhCHg4kGeaBy885XdnIf95O4kJMiWeDO1aEjCH4EK9096tYxYCt5uX1kU3PL
r9LnzKiyY+5NzoQ2JLyLGPTAY+F5+tsk3Ox1mItIMqoX5kwJSOx6ZhD50STIiIGWEA7torn7JGvU
k4XNsuptyOfpOAtZbHiTZipsusuJvUUQDKyqK57yRd9ZZDFvtHDnb8ESD/Txh2+l7XxRkGByQGOJ
5Az/pXgAcpVfjzKbfmjmIrP3tbKa8FwcHADoJsfeX9yjXFBzsHSUr3aRJoESsc49lf3y2aXp+GqL
ob5n9gZp28LyT4xPoJyyrG+C5n38zhRIBkSVJdkffLYAVdwsQ50h2cZO1K+rhz0fYjOJQyKGFnlP
kRIUmVLVhj1Zo2eZ+9ZN7iB6Ol6pLy0Goh5NI8lPMmo+zCGa7qpBZyenb/Shb3Jv7zoiv+60y4RG
1c3bser656hqostCdfJi9rP5WUerYFP0+U0/8N0UfzoOJwwOcp2r1qDnkJnRxSHuTfw8TrgvaU65
Lu+YQ0ufpibkEBXkDPZznrY3vuYok2LHdZvSieMvA8Az6QKD5z7IvGu35yBBBDwIBXso/hvs9VJ8
gY6erkq/qsIU7MntmCEdJ5Pvk1/Isk3czs9NRbDfqYdoU/fafbUt/qYdcT9v8pbu5RhFqt721HDQ
Fhnhy8Fquos7mV85U5Lcm0riWjNDtoYkVrh0GYIpvfC0Yzy3HMwuCR24TGlfhfQokaRTfF8eirSk
U+ek3tGstfjeedNXihtwEaXSP7HjnzVqL//yIp5oOM2qA36VZsd+dU27tqnDvB9QLTtfPjZrGHxT
jfan6K3g0k9Kmsa4X9MN6c79nDbwj5rxqS8r8+BMhvvYgFHaD2tPbslr+e6RIel9GOR4K4v55TT0
pb1ZVreRHXcHNqH6TY/Nct1E5nidOvG8KWJKZWRJENZpexroQY0+W+ky30BAaI/T0MIXJ0m64Qlg
nRnKED9NunmZEMyI88R4Bsqb68smso0R6P2av0vzc1pw6lq4Tg4dYXPCItZ0LKnh5FsqHyi2Un41
rq0exKSKvb0+W/ypZDBCq/1HxyRlQGW6cA9KE2gnXlY/cGcX56XtBpgiXR5vfXbgGzuyULPFYodz
7RBDdmbjOmUw+Zu2Su8Yt5GZhpB/gu0cadvcTDkHoZbI5SNdKNKGsWG9CqV5yntWpr4AIHq3tHF9
+LclDDJbD3W85W7+wLJ+oBDXbxsWIe0NwUOU6+59nIr4YZLS/qGWOv+CAp/ckbnJ9+4g3KNPWcHf
RD3qbt74uOzmgvrmujgbaZN8Du4CeyZ3GBMawUxIUyCFNYocETI+M2kz44rwE2tVnjbpMQNeT5ib
W8SaDSq+ad1zsrDZXWhGRR7oHJpbC9mtIaRLXFdKYMDcWHn6yXB3esEw5Di5V8L53hjp8hBZ02CH
g4rmZzU14i7BLVfo1Gtioglm53VRmUMhvcwfJstpX1p0Rod3xUd/o/tIDIpmHE90TCpdGfMts3x7
jtrgRU6zVfg3qHf87OR+NS18kqKk2Lnr9yM8gEtCwvX9SEKHyqMxf45wH9KNLudO7p209d5krFCQ
DbPm32z//CfbjDx8cyvIoh0X67ixAN8M+0CUWp8SlWX+s1NXNLYRO1kxqUNxtyvAXgEP7a6khcVx
PGjZsM78j07XbXA3USabLa5QcJtHml4s51ErG/cYgaO95erIMQSRLdUej8QN1hzw5Oxl6vLAwZGr
j2M/BE9mMpaf0hqaI2GW8UfcumxWR+gFV3pc4ttywd/1pxGTk1G4+J29EYwrUcWls0fC9SrxxrrC
gAs+GaPDKO3Mmtjy0Nl4Y+VNLplKbxyNNAtI7OnUng4jnch5Z/QD6wbEXfcQibRhFUOOvMwCsxWI
rKNNmp/9zY6Vp34rqXzr0PQquned38O+9hca7pUsmOUwLSZJIU+4tGRiytSfg7L8p6LtxTV9Ar7w
WLfuxNesxUfEslUg90aEWjLfix9zbUcfAKgZczNboiQDW2jaZkR5n1Saq+rA8ADvrcq7vN9qMhjD
wQzmoNulbMtxrNPEY8zV0AFUfGRH6L67q7vLUj4QeDXqPr+m9kzvYBYOhcZKy8Tfu6qr7zWbbfYk
jJDAtRaA4neqBf5Jwkoml0U9ieupdtY8EMs1mQmVKnWieu8/ma2lncOSB455FiNYsC1h2SB7ryxU
ZG7lipKSIcbhwPZgXA4ZqFZorHwbZqonXVecqWkP2bZVCs+VbpTxTOzdJ+GN7y15jAquV0pHvsXe
vQUJATiPmRVMxHNJzrNvSc8WKdxnxt8wm0VoPtHQb0ZHkQ5lHM2mgvhBuKEeAnblAJPu7MZMr2cG
MYZuwPyWXVEYWUBRzqEhJdvqSgA3fUs6LfSOgoMVVm7l3teLPpEhdG+B7BEql5n4kAnlSqIqC29Y
VmQ9tOzGFZvVpj5MdK8ewGSwNJRk1qku2MELeUOiyLXb0vHXc3cex9j60Dy8r2salT8CtEib20jU
R5nYA4+8pKMolJVYYZuxk6o5kCodB9T9JRMEvwl97XnplrvX9tRQz6XNIHZN4pR9+Pfn61WG/Um9
9JhIuHJQUT0ctMtf6ZJtnkz9FJlrqrIJBEkxTj8pEQQenUFzCMpMY58u8KBZYjP3Y8oYPLAdVEEe
wZ1kMGzpAcTDTR2RfwtN34kxuUymIYTKkQkLWjqMb6Ok/roVuSrPxhzT2xmSSfWAxSiD0oaRA3k2
g7YOzq4tIIDYwcxJjbImTYuFen07DG207hdyZ5uChftHztOqbfxVwoUFhLSN6Mh151Dh+QXP2Fap
VxucoaEFZ/F32whKxkGSwf+alRff8VLUlmidCVyF8ui6oOfEgBdz2A5OTgaFtMQNJUObqza19T/M
r/pvIi0vjrEu6wQTH6qY/euLM1pfDU3Lro++UPYUR0zB23TGQpV6KdtyulQxQ5kKmzmP4bBkTn3w
CibXbqmmcDb7+6vlZwLXKi8CBAdrZnu8HGTjX7TGuJEyyaYJaCzzQ3ft1J3LYNRh7FrDfsmzfxoZ
+jM/6Y9vZ/n8yNJaQZ2/gpbtCoY9QcASlpD9QdeoeR7cfqF06gYgo/6kSv0bEf/ffieGIZMag9jE
sZQL5C/SbxnXIqvjuUQ3CZJtOgfGqS0TtR0Cone/f6v/yGZ6rEv++ZXO9RPR6/8mhhdQ6nUm2J9v
+EoJ+wnjdY3DlPyPq4/vX5919TPO619/9w+rSVo4Q3BWIPeiRWIN/ek0SeM3MFp8OgzUwzjihvir
08RQVeaNog+C6P8dA/a/iV4GhDB8KS5bz8Jqdf4To+mPCYz/9ZgAPofHhO7pe7ZtSBe/4uerxJhZ
9pOB6q3w6sk/GnNiXmaz/Eqba9K8rxkiaZL1M+0A/93sm9ckEexelfuxCDEfCC188njERSUah8nm
MILQdeojG+/N7KBhjsTdYyEJO5sHPzLvzLnfsZWEu+G9Nk5j39QKQK6zli+7jjIO2+TUgcmue5aZ
H5YFr6UpkA0L4MQPw+DVN7RwDPrRTFN5yOn/sVlgncqWEtoGpAFE1fu67cKkJ6BD8qJ2MypLcIZN
PVBTrzk9YTJfMZ8igPVS0TW1QR6wf2BtrJ44lDy35XI15PmVqZKYDJaLVirIEkMfSMHysFOzwtnr
c4o5tXvjQMSCqD0fjCq/KKnMlUN0waT6JyAJwaG3JTMR7e/WwBvI8ookieh809ftFylWlDBu/Cki
e2gOzeXQjpelV38mqfnZ+uLYOJScaey8eJMRcuwwH9t2sfZj7HPWquwHApp44KPYzOBG94VWL13L
8IR4eWzz5stKxHQpiormo/e2lN7JKXW8tzL5WcFcy0yL/MAs7qq1G1AF00Z3HAKrhop4BJr9GpWF
MFFE1nKEd6uar4g6RN/8qKnKp4PXfzHznbF8IDI3S99egTzZ0OZLHvGhCLCQngkJEUsyve3OIXv6
CRI1J6iRrdy14jHp7gvJb0QFMIohbfVDqhnNWAT9I0r+x0AWqrCzva4FnYCOl1qaw0KGncyZVS8N
rvzc8FTrrvtODjceEM/dNA/TgVXMDCOTEElPd4SsX3xEA3LDJMtDqx48DpaAdhqvDLapAR1GK05X
mlmSGzfw2lASf9gwgRDBtR0tQhYJJA+uaCBA+K3Ku3VEHOp48s/Cp7o8oMzG/MChKRcCHhZdg8kv
7V3JerutSSGmSX2hzKU/5k13jFL/2puXm9EXeP5yOswtUZU1FaMymmeu9rZZuqIyS6J5I7tuQ9bf
aq/yd/bAjhgF1t9OuAL8WJDC3qTfv3mJYOixF1Cd3Uj0zUOk75Lau8v6/kUVFkuMiarVj+d5DRxO
3a4zwMDCz3l0bYtOTF603zLO8xuvXtxd7BD2Fwk0XI+ynG7Fg8lBhHI6O0yJhMjUz0byCQhR3jr1
TZFEb/VawAiak08PeXmhHbALkiSkDHJhZqPc9cJLrlGf7npQQsfIX5On3dGmYbMNxuViBt9iMNdp
05X1l+joU234PEKvb7a0T99jz9ga3LkmYivn4jfSWjyk4jV0nRJ2dQ3a1jj4u3yQ7Taz9Xx0vbk5
Oo6nbq3SoUZKxpfRXW1xsCbzoYCfMAYGadjkiO1shGAWfhBAugpkHV/n2fLhzBFee+MEbL+v/Zzd
bQmieEvVYWcr+F5ZcIqmy5Q84tFAlQzZ6pr349ICUECN2ay4/8s+V9GmY8TuNtDBLqeKV9sTUWI1
fm+h3Y22wBzsEMIoCXH84vOpS5Oai2y+EwWjTMqBkgLO19SlpzFJbhNexjGfCelK/REMyap4FRw9
J+PGt+TONsU5Wpd0srtBMG4cmM0Km3ngmjUPItDvZgvvzJdIPhvLH45t03KtSHfNrFiAP3v14mfL
JeCGcjMuZJnmhTZf1IK0S8ASQc9bsvme4Tp8rLlg2HpmbvjdlAajPPguvXXsGAe6iLj0C1rpDsA5
EXjLO42E02B573NZnrURp9ddWWWh55QqhNL5BhR85wz6Mi4EkBtbfw9iouJMuY+hGvj2ciWSBEZd
wb66q+H5DP1tOnKwAFFQbptxQrqZNqpdto37Hjfk5MEIOVeee/AW8YrJYNGgX44t1eTE6D84jR6G
dnrE5ie5pV9EzQAso9Vv8zhdZWm782eCrCm18AX01VXsqfG6sDkJYqjsFuJHVKSraje0dAydqqq+
1xPhgUgRf+pK9ZEucbL1g+UOH5PoMkxa3vUf5mQN54hZvLvak98ZG2BtwK+oeM6uLCPX72mbl3s3
c18q1zFJCkfQN6BprU1JyVxxZIr0RPXEA8TVDre+Sh4I9Lp7Iw3i3cxQvAtIE3yKdMfoVdE0Z9jE
xnXbGxsQQq2/MRtwXMF2b14AVcbjDF41oDVo1e/9JRwGYwIs0Xs7YaTXFJtvYUCeidH/iGnZYvVM
5qYK7FOacT0HbUDNIiNgy/Cs782qAaXUMLfCSJ5ibzAPaCPf51W8DJzZfjAM3d7FNivqaM5sDczB
jy/yVUC0okY8FUNKn6himiPUKJjcjpeGNB1hFthJ88wefbjqo3y8dQwxcdQq22s3wmDGOBfXcZk6
F/XUG3cxx+8fgIqKSzKtFYI0+clzIuL+EAR08BLUf+yXEbHW7PtlTxQ6eWmk410ELX4XHA/rW9BH
CNssI2wpcuauzZqrlRS72Sn6T141vsR+XH90rbBPrRVEaIYu9CUah6F28vwetB2hLiQbTZ+nKI+9
zIr7HHrSjS9Eeiomf5dhP2+dogMOlQ7NPkgNyltWUvccn+tga4ygsmw/yj9cO9O7VvYOddOyv2GI
hzwv1vwhyAx+wsjAdszK9jEY6Q3zoOCxq7sToBa4SVWm7owYeiGOdvR91EzpokVhm5BYV8DT0BpM
dUL4uzJU0pytvCN36LTGjbEUEES5q3mud91w65Rpy/AsV6P9Fntn/HAoQjMNl8WpKgeKA3VyU8pk
vNGZ7wBgwOFNdzAtujsFsPqENwbAcJTOwVwSjMIMXfc6yJoW+l/Ub+FoxCcR446Qr0Sfq7NIUxZK
nTpkgJj7OjB/5ybJ2w80fupi86C+cdgWACBkfRjiGfsnrSzSisWqb7hZs5ykF7X3GOMI30yLestJ
Ktcbnoo9joJYDnECsdhLDJfO7XXk5efI74Gw7lzWMKhIE9nIw0hxumAImphdBg+5Z2/utgGq2EU1
TMNTWujrgrfY8dV7VhZnyI8s1IW6kJ3KbsaxdHbeENtsyRDaabKsb+xALt04ADShNd8Zl3XiUTNI
0GAGiq2qA4TYZzsPSfnOq+vx3BQLNIaelgv07skxQ7/nui1YJZZkVLiixaer4ZiOcHSe5ogs7xo3
sXIksWFJynAExWJVVbyv6+Bcx4Su20bWNwxHuKpL/+i79lOb5yP8iaB90Iqs9OTeBclZSW7CJRKg
rchg9xUTVW3wFRuA1wjt+ralqmx0Vxhn7ENpubSIuryrBaaJJeongIfbuDbXcvEFwAkMG2/fMBlh
VSLvVdzbG7LKeh8r41Sm0TOzzIAFNITIstktTx7p4jWuE9zpeCxD4BAHOzdC38Hedbv20lM8K+H6
Fqs8Or9yqHhlkT5nbqN34+Acpf+jZXLsjSfz+EITUQ4VfxYGAb6KrlglUtXvOj3D8Rq+x4AUT2Pw
qJFyayX2pUUtMNC9Og4CJlcKEHYEtsJPXoJrySjyv+iAtnHKXrCglcy57lbqhQwnR5qybm8iX528
wcPrbqP0CwM6YA+UXRH1YXEZns2kFZeWn19VTrqEoyKln8VXTv+EkU3nIp2ujAEf1l5O1oLwsjAa
eiOL/CFwgCnRbZ9bThleXe0quHXkCFgfjYGo3RczRjfQSPV73rXpwTaWs1mA1hRls1U+l9E4BFXY
YR3sf3fitIPfMrH3Zu0SsUtUsBzCxiXr0XeahYEvwWBR9v3AxqsKeAk9nwC8aL/45careJnBsI8d
O32hNEgmZm6h7P7nqsH/mwBwaXKM/j9LBw/NR/oTMPz3P/+HXGD/ZknSn4xANyyE/WAdFPqvYCps
8HV6OGlVB02TqhOS3r8I4Lb1G1OBbZMRvchYAULWn8lU6f0GMdxgcIlDkpQpke5/IhiYv0ZTPURF
C3OHOWHoGWRgf9YLKAZ19ISBJDhgzCgUx4KhqZ6oXAA5DKGAZZH3Bmb/bHYbb2J2yg5oHHP/YubK
duFAZYhpjbrkd2TkBB1PvxJsEGEIv4OPm9Bbr+cuwgQzvLLZMdQ68e//8l7/G13M5Gf/VRtFOGHY
OpLfKv0hr/z8QzSz0WNNTT/AUMF04pvSKOuZ12nQfUaf23h4NoC353kJTWEtl6xTy8FX0v6KAlnE
b1EVjdbB7Upr3NY+k11fcGsWc0dtoUx2+UyQie2fNX6M2E8j7q4Ja7KzZnoCTuNh8k+Fw0bMTBfZ
PTSCogLVcau+FV5sWgdNxmMKR207/WGZOCRDaGvhF0uXGQkADEqXFawQnhNmLjCltFxI7bGHa2/J
GAb+NpFiNsmcZ93E9jdD+FiyaLQ5rrP9StwZCgIbqQj8m+9UP6h3JxYtCpnR/jbT9s2XhC/PA/WH
Q4Sx0G9dVfFw9IaCzNcUZXR1xzGF/pr2nqRCXQs4gXyRy6iLbRkWlZrvlQFjcGPpZn5jATeYstZP
Iwkp2lv5PnNWHhyAcDWHRZ6ljyR0GwTXIlWHhMgNVXXa8wkJwryiYj/oVr/ztylhjY2e1GMS1JRN
yDM1476LCIlsjaQ27tkgmc4Vvmc571Fc6HjgTq9ZUZLTb4NhynErpp52cjJP3SdSaOQ9gIThnGw4
DsU5fzQmvc2UVm94keyBEn82gT3pOFluR8ts8z36Qb4++Ffu5JIC59nag5mQzJqGkbXK864xk1vr
3qMenu4iBItkN9DHeqtHJqRecDiUdwpDgc4lwxLYFCwLBvM0JWDWg7mzt3iQur2G0geYO1K9PcOg
CHBgyFUa7QWjW0ER4x8tJ0+26WoxFf7riMwU7KbJjqhvgySnFOJFNDEYw2GHDn3s/oJ9MUe1iUJZ
+6bSMvtRM1iUBje1dPOzdjp96w3YNNsRWrNmParsD7MlYX3CWlDRPsJqBM3jz+kc9v2YtSgJ0kpC
g0hp8tQ4ufoma078VMKNgTupWIxll+bRymqMohHKWYdkCsjb5IvZmNazuelwYfuwJfJSrhNymKWC
97+4yFG65QHS2so391UQ6FtYq5jEracm8VDYg29f+MLkZhtMf5k4P5d80XE2acSYnda3Who5UPw/
bsVh6CYCUFk28SUah/rFu64jxz4mYl6QTerEAvZOKbdOyk+bcPGiNgPyP5adyNMag7ZxkiB41knt
anuXujjsuyXQzRuuH/i2grU22v9xuS6gB53X0WRPtitFzqPhj4uuU0kZgHiZDGZI9WB9L5N8TXJa
bgG2Iev9Dw86AJOQUtFy0U+x8yo7jLeLylaZ3MQ0ptldZv0d7wkbUJqR6DRDlF86hTfcuKZC06Lw
ZX/TQtnwNaP6M8sLQpaWzM5JzFN36iVokr7mVq6aodjFvpyOcVn9iEfd7ZZKUpFyRUllrJDMe2Mz
liZ7AnkQOadosLCQDEeFFejrFz0BLnMALoBDyuY33fjede0ZFThHP1+Xg7h+V4i15+J/kXcey5Uj
2Zb9IqRBuAOO6dWCl1pPYIxgEBoOrb6+F5jv9cuM6s6ymnaPKirDgrwC7n78nL3XhtVGOxIwFJyf
lLyBrghII9I6ezaD0j9WcsCc3k1gP0ATJbcOAyFAyQme7dAylbdI26IneGQPKhrpnOoojsO1MPu2
vVP20HUbn5/grurQS2w+n8Zb9EpdbOHf5EoDx5d7coMjFKADdxibdjSZhCXM9PuULgkgKUb5t66V
6ytLAYPzHKN7JAe3WjfQ3U6TBxBR1QpPFaU7xG5Zx/cThqiRz1BNN3PRVVc4i0BdS2tiO26fUq9N
ruFdfcHBrF+UpTUaOBlgoydIozCOfa6DF4DmD91ch0favfUV7z7b0Drv3kafS2fcx8ExRShH0EOn
cUDy6PZt6TQbL06K0yxY0HEftdAMRmXRY/RLZ83wh5WbWD1C3DnFEG3KDD6knvIHduw8BJQA3XuV
lE21N/2QqyQN0Ohm4FafboeqqncybHI8/sKdK/RCCvJlAm3lavZRoK4V6o6fKsrQP85eXBobv+qD
Dw094WDlhf3e5bVGm2R41Y84Nuirkek7PVRD5e6JeaM5lqGAxm43ta2iwEzsrQ5d93rOsvRoIiXZ
s5PQ+B5SDxWfwM4sVHUAEj2/90DZ8VLbXQ5CsHSdVUg6/A+ORmSOoLRQw+ikPaAsrjdcf2lzEXEh
7FNM+eIdsnyRpvcd3xiK3bT/NPQofrlR/xWYc30JM3CuLdXU0yT84E2ZKRAIkjIx3zXlDxTSBWX7
FAPxNwPq4dDrLWLQGsmvSn3vDJwr8c9m1lf3At/wRllqBBuMo/rXhIf+SyWAQtjhF9Exa++aKRCo
f6sFLxj13aYeLIOGUzB7V10hCKatgbOuSSNWd6UN3Tin2r5LDDdGiRbk2yYO55fUGuS5VZHFblMG
F/CL88/GnK0XJCYpcJimvSOtxUeb1JLlbE6Al9wyRJqJiJz9Az9/c831fX6ckeckkFPUUo41ddkf
UkdCJULAzejfzgws2EkKGWmRJyvAgKB5LpGm50yqE4vdnrHEzY4shq0hLJsLc9hlX6od0LQmQ9k8
q9rl7Gc7UBnTjxmAph1AyYhiYKhY3Yk1sFvBYYy4cZnAu4Xj7QaabOOO0yB9QTXQu7sWLMlZyKL3
cD372R5ZMnqLCh0oFK9Kt+bdpFVzaNtc/sqTUJ/AwTQjVj1ndNfglrN5H6HTBhNjT3G+9SnGBCol
vgP1BDkV8IwiBwfFFeEKbHNhItWrXfGiUV3IRG5yObriECDAwujcQGjaUgRB9hQsro1lFaW/0UFh
/EKEDrJ+UGGMKimDOYA22Cbg2B/b3TAG4byOSDYAVgSlEsm+4TFrMTs7NylLSD8upe7orQU1fZ2m
sl3jfvBiCKy697GRKs7NBr20lS3wY2G9d443jbcdlGdUWUKUe0nLzuAMMDHgF0NfRbTS+rK7damU
iLAJlo5nGUx2eyJTwwdsyXaewjjwm9cYevMdJ7LqT+R66X4VUHVAIspiTq6pLsvPDsZMtjc1U809
Op9O77zR4fjIfAsAeDLk4T7pW3PxeBMFQkIIYoFhkKhKGsekaiVi2bXuskpkQBv8vr+Vg4dzbElX
23dO6p/zsvMVLmZO/E1XDCZmLe4dbCaxy8wCxtQ6TsfkQHJOcm93I+eqKIX8oji6dvPEqvgM7co7
WU6z2ELJ8AazVPoA3tnwjXwHpSk5D1Aoz3mjSrGHAtGBOsRTJ846H3n+DVOhEveNoY5XEXXGGxEP
gJ7EPFTXKWeohCan76AhAp8yO9OniY4immlZ7zCZCAxKMRJsBLx/lU4s9oyr25b7DMX6TBnwURdh
+0AML8fy3NTpBdyL+yu0PBwMRsRIUFJtIeh1jes0y8t33wppjSUAqfk2qs61mGeWA9OPtsetSvgB
Vo1Gl9jqgznGyh81kocUykJHM7yPkZ3TX188DliLKoi6jCro6kvjCg01+J25k4Z14uLTuuiiuvjZ
7xOa96FfqNchJwclloK0niGK1XPlmDSi5oa9Z400oQTiFDknu1SqBC7rsXxrt+BlRo62n1WZFFd+
MfL5Tw7yEcgQiXfl9sv9LjQ78eS0qX4TyIb2KUL7d9hxFPNWpsdPu7WqO1WRpMc7jgJx7AzXORa2
0wxHM2OqupZdZ74HTcisafi+BESZNdoo2dNnzBsKDY0/V5iN50EvJKyhdHiARARMA5EvIyUr+AJu
FZ/N2ByxJXjqiD6/vfIbkPnrysg6Yt4iZ3Y2nW8wAKH6a9Bg2878EoGxfKaHTUwUnd/5AWCE12wj
P3fO2aKptB10WhgbR3U7KJ4wUPPCWpvLZiGt2rHXzH6aA0DE+oHyG/IAy5/5A8xkdLdL+IBmuM4H
nzKDUhrkt1FvS88D+oswFEZ9uTIXrSiLbsBwosJ+ldYm1Au56EqjRWFqKLSmAFmSX7XIxVfXS+M+
9+P63R8j/yGcgnDrcb5itTGAXshvUav5rW9l+f6Ck4TotVz0r3hpi3KtI+gMmyIesmpf1ZP3BsPW
WazXgCaN5f6lBsvl/2tVTdA2UZXYkW53KvUKsfIXRW9GsyldO4vOt7dFcQKhMO45LJkTcadU6N/a
dfAtF3bN8dak8tgTg/4Se174ZBm2e7ZrFLoxeonDnI8HqrfpZol4fpXf0uQcIO3Z0s3sbClO6r27
aJptwKr1iqc9DfejGLvjyExqF9EzexqJNth7IQV8ZTo7UkJ6VOs2WupgkVXPmfepx0VpnQYR09uZ
rPMzSQnJoe2RhNL87kjR9hf9dqxH+8jp8ysawvDTNSpMBJHlbBWbarHxFz04dt3awRfvxgBKoJBY
6zZro3t2yQytOn3OAdA2W0TJ08lZv2jRGXP6u2FK3FfNVGfdNWGyQZJFaWs6ioCuKocF0te3eRwX
W0yc/WVA/S5pke+YdxvH2nWys0gM+8BIeI1ZLAcRbhn5L5XARI69prrxv7X28lt3n3xr8KNFji90
09wVQZDuvdIyTrURhtm28QMqy85DhsgtxJSruq1KeIA+soMMUsy6C5YuYaJ0cjIX9wBThY85LMcT
5UXLmNKtr7IOEaZyoPDZ0OqfiWnoq+2oaqwCkoP+ZUjGaR99uxcsu21BHvjxsHOymGeJ5/MYlHXs
HOji+j+I99D3RWO2fPnOwhzENNaerSELCBv+dly0i/mCxCIuLhZVDfukn+JBKGOouIt9wxtEdtOU
MNZO0pX9beMZLKLIntnuDahCn9jKFoD4t10kb52XuuVOyADNKvbpYjEJ0gJpZ0LVweqdEFStcoML
Co8xWDavFgwthzHuHoTKjSPFOL4YqDFwX8tQkw3HtWlbOkUkts1ikKkC+01UFSSbRANhLKx2x7w0
QRBpGO/maHpYnDDfWEkynqPAoLfN/WOVtgZcuG7ibEXvTETTYuaBhMvdwGqL6VB7jvU0th7TcfYF
JjNuy2seQYm9lAq21rrFN0s7yk9vQ0TP7zIs3IzbeaMfpzF4rBuUjgu6oT4OtcHCwX2DZ6kueki0
QJYwNOHeHG4RHhvBDXMYZAh17z8XZlZvlWsO+6lZYA9jOCD9oByYNtXIIIx6cN5Z3zYrb3FcpYv3
qvu2YWkMWePQpvUGuNd2Yqyw7xf3FpUnTXe1eLpGiJ7bJkdsygFY/egsI72FElGt66DXXMHmwSa2
YzGOGXQLj4gsh6PmknSXkwPneUQlb1DlZD+QapYgXgkRPQL3OqeOQqhSB9HBWnxryLOjg6fpoQwU
60u+Vad+1Yi8m7VEwSg3rTd11ACuUbf7cfHMeXPfvVYQ/w+6s5v2FozktNOL2c7lvpWogqi/NM9u
8yk6wlUJ953RsdDVYtoT3/69+dvLF3qqGbbVYvSba1m9Yr28LnF9bjX92/XoePFrzGjxvq4B3MoZ
ZcUI3eLNT5vyYIQd/UL8hjpAfp/QKkP60Pb+tLDFqLa5J4NWHNz8qu9I3uY6CfttMTdiWrMWTUJ0
SfiWWo1nbdO6Qc+QfJbFkV5PuxmaZaQTCeOePCPew2KtTD3n3vIwW9L0C9cIwOpdjcP3QpTUdIU+
34i29tziLPAbx0uR+lqIND0YYddm7VtvQUdlNzQal1sHaers6x56MxLgdy9yqOGwi1r5OOwqO4uf
7cyBjGwE8QbeSHIiHq6+pIv51GYANqMCXxf4Ur3FoCqbhhXULAFlxH6vxDA2z60oovgKaG373AhJ
ekuh2jf1bZeVDs6Y24Q6YnwvJCj6NQEU0B+h2SbdhvuQS7triENrXpW54D3S6iuq23jOaaYiPx2i
TWRWKJRylwrQwdACS2rpBAUC8tA+cnoal5UTUqX6rTaNVYxZ/mmqRIeoNCKRK4x6cTYK0hM2XOzd
20kM+SMnbt3v3CKmltKDDiUK4pD2QM9lhDSnEmPQuW01XD0dUVStQCcuIoTRgoJNZYJrERUt28wo
PC5dfKeK5lOUg2n556b5/6ljLnErU1CaTCvc32SClRbBYDv+LzTH04kwKlMeppnYDdJxscgJ3YED
t4N6uvZSo3z959/9LyMHB1CH7TDSs1xwFL8THZTbN2Dy5g+lmWLHvtPtw8kCHkzTdRNbVXeAM9/d
G0EqULZ1IAH/+df/68hDIdfnFQhnObhc8dt7jzwZGaNLJ3k2LfRNuVl4NBD9OJ5+BhgDe0jVwjLZ
+UldWI14mX8kSSKaHdlqVHRD3dGfoeavks1EkFB6DDr44+dOh4G9Rz9I2JRIm2q81bPFBBOvp2Nc
/Zu38C9icOoO4UmmSr7kf8RvAw8jQuw6WdhbbCtI3X1UR/TByZayTczjdOe2bUqkDKVSykwnKhTD
mJCkRC4jxjg8iybN8/1cG3B4rO+pjVEZbnb7n79I1OCmpOrhGeN1/n0q48AClMz0SfMr66QnUMxw
9RlhOq+Lg/uujQbmrejQSsyBMx/y9xTJ1z4XObsK7UXnF0KyHL06QtY3ydn/N4tgmeL9TVOvLIfs
WVuhWrdRs6rfeAI0tqMSL2wMDCXz+/s/F11jN8m4t0p6VNfsG5IEwJh+/cbT9eQew7GZs2smyiPT
ViQZCIeaMaV8yJjIBvwZteQuILpiOiPAcAYG+0Prqss/f7bO72JwXjDfumQV4cwS9u9EmTKRc+ZH
qGxtAY/x4KRTpt4zvPD9llgVx//IccNnm8GIRHoJbTsEaa8Rxl+Hk6ujsyQGUB6AyQXMsXANZztG
YE24GWQjcJfWWEzLZJkG0QnA/wvLwH6WMnABsyPALOmCJanYob4kvo3wo3Lp5CDKMoCxgr1iCXxx
Y0rukczTa40rZiZ40pXxQaKSGu6IonMf/dEB1YiDqNT/ZnXYv1sAlCU8FgAeCA8bALSMvz94M4OJ
3GOog9MuGqNrI1ZcbbqW1LZ1TM2kt4XUwrk0NSDcLQ4oezrPZGmlJ+zu/Flwabuh+9/EILYZ0a4L
SxKQyyaaJmfTnZTY5a4pDQDywiYeLO0Y3ag85J/ao9Ix8qzCBACj6i5RH6WbL4Ex2kteafCb0+M/
Pwl/30whHuAHYRsRy8Ngsi399ghHAzYHkQbYpdVQbKmgw3Uaj9kxN/Py5MY1/QBTu9QSorW3k0F0
279ZRN8B439VnNNVFa7kMQRtJF3/ezj7F1/CHI1yKhIML3MUN5ooUUtQRM6KnsKfIx0+Zk8coSlH
r7Gh2xH8bL3srFZI8mUk8Q5lJQEfEBsI71nbGb1KZB1D914kHILcPoPgiKOUTEyJ9n0vuzTD2MFl
FyWTnA1iYXOb+BspaFTu//nT/Y6G/+ubY8IOe0hZFhAbT4Gx+fujBG03NAO3/eRmUl3otBQZMuSM
V0+HwL9wi+yCVWx5zglFUvRRIhyLNp5Xp2QWKBU428EvWmulTaCZE51RdM1J8gBBqJ2YKVnywe+m
5Ox2BXsKRL8iWTO9IbLdNAfr8i2ipiVM21xNTpJuygKAC7082WwR9tT3IuAytP7nd7yIDv6yJ3o2
7xipAsYBwZ8lsoW/v+PM0F4mNa5BZ5mrEXjEBujpZumdfUt9Fa2nfsczpi9ZTw7mXmr6rtTkXGva
ygFU/c8v6Lfh/vKCFG4Ky8EjYeGy8ZbV/pfnKxcipoiABbj4GMVR4/F7SBK/gPDeWQGJGo47PfVV
bzHJxfkfbwc5qeDKx40NWLtrsZYODKpB84XS/yoilZD9kZsuQMXUsRDEp/lXHUtGlbKs8kvXF1X2
YA6opv4ccLLRgAAtG/koO/r1wDbIeV59/1cDxjfNehOQAUp98JOwVVVK4mRg8IjoFgSe2Tdc34g6
JyRblnj/NxNxGmh8GGOH62B24nif6xEsa9UXdOsyivKIHzkQK56zi7SwX4jvXDRk9HHtXDjhofC6
6oBSHZ87Y38ukjLogq1W3GgXdZ4et06SVXpToIwXx2JKllE7JAmSaErrqfEnfpLU3H0w0NUk8vS5
f8nMclEO2Vbmb502p3yVGVZ5+AjuhCfB6hg3fX+x/1+bjJZC7B90QhhVP9LfvEXLP/kvZ5H9B20L
REImtu9vl9B/S4Us9w/lOJzyAh/Ntx7of5RC/h8uDU40QrbtWPC1+HH/7Szy/qBXQAfUxjaLhsj8
z5RCCGr+vjXQWVxqJK4NQLKU5DX+fSWihk4JaSh7vC+Mnt4CzAmMiH2GFfBOLEQypb0MOEIA5DHy
GJl9qgTU/Nxx4UIfeMBBjCBz8rFyro3MVvs5cEhX7ckk5zZSveEdgg+bW/5rmAfjc540BO+a86Nk
rILtfWKmAsLscaYo2w+MZNYT99NfWVsm516k0evg9fN9UiebAjPrVa5AvZtVSqhk3Rc/bTHhfCnG
/rnsG5ywlTTuUDSQ3ZBguYCeBG8cr0F+sPFMraeKoB3RFj9q87nnPaThexZ5uzgRP4ekuKX5Eonn
MgjyOz3TEZNO3h/nkIF8N4jPMnTyB9HE481gIqdkSm631zTm5I9w6u37Dn/GnZdE7msxmWmxcRVM
Xjv0pwOAEPcuyUL36Pdue0rID1tJqVCW0D/kHgAxc2SrQWesDgH+BNgOmburQ9Pd+ri6DwM7watP
p/Y6EJW17jHOcBPf96DZdvmUmJhQ1HxdzAB3vZJNwajCrN+6pAtcOVU5nHN7mHfgbUiYZ1Z81ckm
2GOdX7uN/Gmlstu0g4WAw5PjpXfyAgS0bZH4vQw/RXyr6HVuWseEUlQGyd2Q+s92HETrsSYnoWNm
gw+XdCw3bJqThtTC9L45uTmyMLOGjKF429QrdMTcAuG8ARsqKsF2UjHsPekWV6PNaSedJHwZ5iJD
koptpHIb9ymJ5RuyaHmLjGLJYPacK/Q4RBjHtCkHBTeY6WBD3FxR/UTvhHAXYfghpXY42VEebJ3a
0R9d/uw25QTZIKnvXKOzL4PT0vTz26/St9kDs7KzbnJ47IAzNCwAXtfWqDpQZ8VMCuUoCYnTos3u
FVzA9YgFlfSgEKArWHJQhSHfRzsiKAVG+jz2fHDYMMwXHBBPksnz2fTy8NwXxDSVJH7sbGkMTCD1
uiwTKEEVNzs1VBAbZd1OuEfs4QTzxN65TiTeS2eo9k00+ZuoLs3LHEGic6h3972u7K0gmfomocl/
KX0Ov1VbJXmxMZLxrbCx2UgICzeaOzAHwTRam76dXrARBut5jMPwmHMarBgAMj1FgH7IYjRUfSW9
m5p4BFrjqa+fGXovQSEDljMF/RT/VLQJR9tDqGtgqi6hRlFmB095SUTLCvvh2aYhsksNH3q7IPG+
LS3C0uvQehKhUx+DgGDdFXZwKGYcWWR71Q6Jgunb4LUMRskMWOcZMdoZg8SR2oEZbDn4nzw90AeM
dNXMZObAXNIbVLpo1yeC6TlRUTuXc7GPBEiDxtR4gGb3fVZR0m1NSuPtNBgWSySJ4OdV1Tln0nAc
ZGqC26kAE8+zm25mGjOPcwo+GHAAMQFDWT/Qz+9PREKCZ9FpsrXjvj9LOpJn5s1JxcjKf6TlWp2d
sCYBCiUjHxO3tJUb2MaxG5DF27q0D8XQiY+omKO1Jnpz5Y9AnDNqhR3gg+qs7NJ+MECscJMXV/aM
2ka58RtQ1HuKizcjbjrCPFL72hNGeRVFYXQ00vBhnuYJnbB7ExU5qFyPKFzoSDQOFlE2Uyy48HQD
0MBhjWFEBGPL4M5qg8va0PNOrwK4pkRyCe+HSKfpaYR3BRRdeA9FQ8LdqjbDcxAESBe7YSBQwXGv
aooO1kSLy36Y2H01Sqnj5Jq3oZX8WGi+wmiwXNo7sprfQ0xILkWRq22MhiCLxrL6AWEM6xDe5qsp
6tJDVOWEYBRGbNzb6AhuaPpimSyJRTOGrfR86Nw9JhkTjz+duL7cRrUV7HqQR0eEGIRv4IoyUpls
TbKlGK6t6R9KCTFAreswuYXqt5KWZ2wIuu/PIaCzY+cSsdC1hX0g/5lpQHwzEU2y1rK3yYlMcxK4
jP526OLwxQzactvZxntTzS1B3VLddnni7Binou0JXgs8KpU9tId6sgnGEv7BFepkSrt98Mh/s6K0
2xuDd/Ra4i5CwzwzeqkIGQvJZjFD8lDCqcJGRZjJ6PhfTpLcSoIRsWsYsAPH8AMJULk1rMG6xvhU
ngRQsY2XS0SqtZp/tjD2N6phnaK2b1d2VMHNlunVkqQUoR5wCQREDyYJ3fwCl/SGuAEBo5Hbj0ZB
lKeZOWBHxuFXLEICbtBfHBZZ4mGGHvoGqkddNWXkbQ2aiCtRiXNfhmqrie/CGsdeNcbQ3ylexyNs
kWoXzml1BRzjAn5iIlzNp0aw7lhkO8uNEEnZMdMeb762VIodI2OQ76LC32q7d0CsMwhfBSFpw6pX
2X7sRWfuwLwwXSRw6gskWf/EJaI8gCgasI055rUesnfd2M4+NEPv6DaDc3Sj+gtwTQatnfjM1ehr
9ZACOSJnCnVCU8UhXtDG2Dd4YsXKpH+2NK/lfUWY2nXod+UtDUUuHgxq9hC98nvZpuZ+yFFDdnMb
MBhU7o7krfI4k0B2jqxgOhrxEK7HoYHcUyfGE/NkgHN6GHaAFznt2jnuyGePxfyEzIE4PkbyzS8B
kXyJ/67sTV0N09rjnPiRkg4I2GXJEi2wG8E2aZ8J5upukz5mTtBOw2dROqBc4FyQ/GJm4SVPUrV1
DYRXQ39FQ8fZiZz4OnimO8gj1REvQrlj/L8RSfQgSy0+00HwwXJkHzPTYebgQNdGkjpuiehG5smH
v1DBXdLTHAZII0AVkglITo8MWx16xtrvQL4o9dTRVv55pCniApNJhbFzK5P0J49pmqwgoAWnNO6O
VVJAp03OHdhifFxs3oPhRLsoyS7MiOnXTM5J96VYGe6I1TxzGHV12ZXGmburGuZ63Xia/aC8m3rX
u+sCN9+NOYRwN5x+GqbBAHKxNGMBHqfbqT2Tk7eCQbRHGkNwSfi28BNpv+uLGRfXDBHmdWNM51ai
8tM8yPtO1i8W6bEM8ohyZ4TmmnWzmoZ6PQMQD/L2w08nG25Ib+ztBuiErtZkUB1yQxyzCZsJEJtN
5fs/I8v3iKriIWaN7OKcus+oO38fqZAxyvCjMt7bkmEHa9QaL4qjbOPMi5nWn+6nSd4j79q5I5/k
2FiMbxNxlXTpUx/W89rNyJ2PFG5Tj6or1Gfsj+U+Lm5IpKrXepb7BpfiatLE4iRQ3lbtZOabIuw/
a8sm3g2l5to0UMg5+BQnR21CcrTJQCzyo2EHmCP9Z4m+2+4uOaU3GaQWwFAzv2cGxXvozw4eVGSN
I/7vlvQYjEEreuzE8tCBIw6END4/mHGFYlEJrcfUgKiWyHKDGGW6CaL2MxrG8xjhR06n3N0OXsTY
xyFUp3t3Cv2g2+yzr8OvgNzMwUwOUUFiSklkfB1TsUzp5GwcGd8hDunWMxfsK8N0y53TU/x2fYck
s/U3lpmfRGjvos4Vqyoi7aaBQnfK+PJhOkr14PN9cyPo8Z866S7sX9BOGavSsqpn0KS7PoqvQxly
YBIDyLDK5YTOngqNy3Yqq+fQs0/4/fqRPXWSeYsPKiGNE1FoJ/TJqpLxxpjD4cVetk4MQH75w2id
RyjIWKEjiwEXq1lR7JR00aaxO4BOeKQlZm+RtxUgIiUZzVlyXTBzPRlWwawmCkWy5snzX8uKuJIm
N+yvDLLKe4Z0CqP9OpryExU/X6put1VIOhs9H5j+5TV6LZ/7xRjhxxW00CLIQpwAXv2rd4j9CLuK
NJeKJ90WYudUHiNdNIMUcIVxjbCqZMZo/eDdnTLDuOR96248t+lvzJ5InZbhDi9mNMlblAGF0ay2
jBaIoubHbpAfylWad82LlTTDGu3cTW511i6aM70HSWecDVmba2/280vlh+6TShFkUbyUe1t7etuW
95Mz8rJ9NjtyI6163aCojqFqrZL2o28zxA2kkvIVzvRprxAPrRroiq6wr3UQn8q40go7dXxqVLyf
+uRtqlt9kxBIv9Jpf0pRNKydqcdyNYRw1BQGCt88N6KvdhGmjwt1ibuSAzi1whl3rLvL5HXvxD+5
OzHOFwQXHHqmcI59krWHBtzasavULceAjUCBeAmiLbaZrsYXATCQMnr4BbEIYC5dRniAwQmIJsX+
Yvoewp6+ZlWPezTtFzqr922VJTtuki7LuRSsk/g16z3Oj5zwNriJwU1vtu5rw/yeCzqTRM8QyJuM
9geJ0y7hSuhK0wxxJq3uXTPqR6w6jP1B+2W++9Vb/oOt03tORBRDMYmuwDmVi9Cztl3zKeM5X6FH
YR1nE0q3gYijGKktOaa8ztKvndXQznc5mTl0v7MPm9xvtrLJwGiMlShVLXAA7DE/Jdd+GM4bAKzZ
eiBFwiyCU5FqZJlWnxOWXRJjQaPsxSJhfLFInRopNzJF1hUY+GK8xHu2AazjgJSnVKt1lflXkU04
U+c7iyCs1NQQbKxYv+/7yY3QbMtLprwtG1gAwyBy8bjLeEtT+g1cIgE4jL4uNT3ybR/bP5ETPVMc
3SAmDW69eb6zZXyWhXjDTyM2WUEFlEt7Q3OXjpudWMhSzReRergLRUFtrmyMxTVk0LTWz9qfEalG
kXlx3BjqGQfwnrKz/KXifAJMXEFuFshVYYMQliRl99klluIpHnGpEI2XKagKRvKqlWovkjzLvVdl
eFUAqvPEk0j7QVK3va9dQYZhnqXZyU7y4NWYe+dlngi3kPDXzoRIDuswIskzCdG/ayec9xMehmNd
z+WT3bHGgrxxSEEB/U3HErDqLdxV5uNIptejn8sXEl8HjLF+/BolLY2BmV16hRQN+BgjjenarRx0
E2bmPpZ597Mbm/wYJjo/VdqWBB0rm8Y35XFhAGdRIWksduQBV40F7ckOW7PXwrmw4Tci3tHmkV0v
fgRfm+y45RnX/jwt4pUWxLIMRHPdOnYBvtc0PoYgbe86nJLLfEN+wQ7sTuk8WRckseNj1YTFwQwB
UdhSzsWqYpGuevKRXuJ+NA+tiZyCxYiIDGoUAeMTYjy3XPCtjciDBwuxP8ZV3eitWxbVPZy65L1r
XJPbFxZwRr3graLGuNd+NZ8V1wEc+NzrSQiRWydHzOGmgdoxQDD3KMjJd9MM2jzLS0jMK+foDu8Z
xWONdNAfLX3ODKSujdO4P+rS8c60XP0Tn2KMCAn7+lo0Pb90bliIeNGybVfNHONjIfJ4WyqYIEQh
4agFIzzuBt+pd1U3qHOajgp1cT80VDZePK+i0WMwAxPsRkVlte093O2YTJr+nNEEf0P3Yl7qECkX
fops41VpdSLc2djUtK2PxPjgmsUKtFPCTp5cEX5U9O/uRm/6kAYdQC08Y1+h8jjKIHSQFjvhGp86
ad1kZi5fIRYm36T60xs3REnh5JecCmUTm7TpgvmoISf27Uyjmys+VFn8OLzY6BFcbotUKtqUY2d9
ys6DwSoGf4Nrbj5gtFEHiS4Mu1lnHn0wIm8F8beE52R4+Rl5kW1FZUk/zbjF2db6a4H6+GRgGzzU
hvB/kr5cHvyuNn6U3RTvWrIwsQOi29y2vrCfFMrpBzwMvxIM/KfCQ2KDSduBVE4zqadDsx4A7twa
AS0GTntjY+WKwC5v7G9RZFd3wi69F3aX7MXvZfwYYlW7BqsQ7bXdOPdBF7IHZAgX7xOmvkecaNlz
QYgXanW0OC3quXmDK2p4SDNBRcf40/Apr+wRuzcJoNeIR5wXR0bWZVT44FZxKLiB6SAxj6KorBtm
0oO3FeGUXqW6qyHTCCNhCD/p29Ac9T2hvzltAZl1b4MGaYLMX4avA8dWuBJsCQ+Rm6AClnDdLdpM
TmhvYbm258xJ3D+nif/RUOD/TQ+xzyDt/z4a2Mc/SAtsP+q/Btws/+TP0YAh/3Ac+l2+J0xoiAwU
/8dGzF+5roPhbhlR2qa3WHj/y0bsEItDf5gxO+MDc9Ha/O/hwPJXjCBd02TIt0wHrP/IRsy/+ttw
ABDe4sE1l1fokpjjmr9NSgOgKVT1+ovI0+g4H8vH/N56bbHIM70cV+XG3X6mp/yEg+PKOsBOhRG/
Tw/e2T9Pv+RV/9key9vmunjMjsZN9pl8WhsECo9wMLyfwzPg5+qj2cIxPk7rausfsIgdwwPEoPN8
7LlBrDx7Va2pSTfVXXVyP6Jb8RUf6JFd2R9+tOmyA01C+7l+bK+aE+kKW/+m3WS7YkPO1ZH02rvy
atgGd8kRWfE9AcDb7HbaVncM1zRRg4/5Nj4IkCa74kbfDU/DuOZvmrv/RduZLbeNZOv6XfY9OjAn
cHH2BQGQFCVasiRbtm8Qtmxjnmc8/fngqt5tQtzkcUWciI6KrqgqL2Yih5Vr/cN8Z+3Gu+5je1M9
Svfaq3rQnXA77No7c5e8M7bVzncB0nryQWxDx/wZPxQHfuU77Vbs/Y/ZI9vYfrV+wmxCyj/snWCP
kgKvmspEq8C1DtWBHiEHX31vb429/AFNDcrD9sO37hgdMv7Y4F34MB3oLX9kCu8Yw0+ou1v/Zt5E
B9ORPeM2v6dksCm36ZP/jA/Zjh/oNM4z6YaXeeWdfNDuQhdNgm34znrmbNsmHvrYLsWKHcmpv607
L/xk7HnGbO2t5LX77ui/Rzt2g1LRF7FPdvoTDskIVcHXMjb+lqYCgsqtE5kuGhA5/3545DAKvqXK
rZY7wy3MRQcNjy1y1Pyu8W4anMyxPrdPU+5qujOQYH+a77J99L68rXaUJuObam+4phMzLsSUmJb4
JrwR22xf7IJb3ACfmy/Su+xoPRDhhWKSv5G98AaMu8W0J7toxwvlUdsjnRl/D2xHeklu+/thZ/2c
jmiI9i/2I3IsL9pt+1TfL4CtcEdnFFcLHEmpj9FDehdtFU92Ybk49Iu/Wofp0OaOa5sevor30hPr
s3eiEPcNSv5bZVMc+e9dsoENPEwMPzYyvrybaAe5+nOzUTbV+/4BlEiIrNM7Jg0hT9Md9yE1O9lV
nkd/G+Zb+C4QofH/28K3zDbZN8NFUWa38I+d4PiQORuY9Y/xdt6QUuzT79v2mcTQ/KjmbhAfB8Sc
D18KjzKm5fkOGsWe6kGhEPyK6kt2nG/zLYKoAQJ2G6q47DeWkeyMN1zvunJv0rhO8jvIUygrd5Tn
PnV0+uiESCo6gPbPlF45cjw8S8F2a8d28/AKSMAZRw/8+kY44PHdVna0D/376cn4gJg/z9gyw17P
MZJNOjkwz5vXzg0344fUg/q4rwtvpp+nOigTy+ldVrk5TjVQ3ZEJbmDDoJ0hU7fYy6+j3jgRaxdm
4k6nsfK1OswvubxBzivwKhcLkPhA0eK5exgToG+e2TOMQ3WTe4n4mh6ie+O5+hmp5n4ST/47wbnU
bqdDfqfv2q0m/zA+IBzXuM1991TSQHcotjT3/RHmLGW1o/FR3yoOjw/XpKbFcbTFETUXLbJ25P9I
quiuRFsOYKcW3gQ8cGBMJ0dzfgZT5PY77bk+sIU35gcZ4fBu0xfve4BloMARE7OQfzoWD/p3i86A
N26bxlEPVYQD741Ij+nX6Amlxh3G7Dl9u934E5NDB0vXF8TEkCxB6eS95LGpbxCrBiDSal+ZX/lT
U7uq/mK6tu9kGH+84Fasu8muxKxmALKz101PtY6kk/m3AYyruRcUFiNEz25H2j6fsbraQHV4rBzK
Qopr4pWgUBTnLbdhRZC5895PlBfycycpvkDOVHj5oGrsv/rkutpWgx27z0LSoE3bH1Qv+Wjy73zW
b4V6zD9U2U320r1Es0FVbGPtKfjJEJZ2ZKDUWL4s+l/RpvmInatpfmyTrS2/LEble1574NgRk21S
F6no+VNnuyg6IMeAyaj9lbmenjTkW/bD0/AkPrKmqPk747v2Ue7pAVFL3NSH9n3iPmHWYzjdZoaF
aG2pn4bWXWC/DyR3eGle5PeQJvotcggdkpGbFvS3swfPnH+QHui67L/byDVB2nfTTVMeJf2rOCI1
7YAov+/wGmi2sPWPSvCYb7V7kNYjitdfRPeh44ERVbADTIqMveSMr7GD9CYt7o24iVxw/y6qO97k
mTh0iSOQYBbyM3/Op9QJUbcAUzxsF/KjK4WH2uvKIxaH5jfaLZvIjb0eEczwhnODMjUQ+BcQJhtt
VyFBoVReQaIJ7+c4IGzI+QZ9T/Su9DFFKuizjdAxPYLsGH2S80/Kfd1+oYYFw6cL7pqfGsCtqnw1
6g/2vZHcdofMvtPlnVt59Ozv6Q0jtvCh97zhFQFok14zO3GDVJn+Eszf+6OCnFxZqm7AQemVR2gH
HO4Oy36EEboDEB+877Yt1RzKL2h0RvIDN1a+MV8Xw2gr/6hH+tZMshfJDYdj3rnJkx/TWdyg/JbT
QNnEh+5mcAEifrMeUWZEet9tj1XiUPpVv/GX9pgepjv/Hv17t/oGVOiGUHxUrKe99A5HsQaJgH15
Y3K76F9Ayn/jnTXcdt+0h2Gv36KqBONrNDfJQ3EH9676NBgPyt500T3ZMtbBAUokgI0OTkjjYL+o
YYYsNAzYwj1rtYwcdJXEsDcsTyS7CgIecnCzCyqiNV4GTKa/dzd+7VKAFpKXZwcfPcdxW4jdIQT1
Tmts0x91+nRoKO0j96u1R6pTocxtbQfz4LcPcnHAqhMW43fMNmT9/w9WZ/ejePc1+9GsVYOX9P8V
ImMdwbto/vvXPw5+FIsG78nfkA/QpXjf/ainxx9Nl7b/9lxc/s3/13/4t6rv81T++D//9Vp0OY4W
jz8CPNB/z61VlVz4f8/Hn4Yf33+8/Q/+Buro/1JMAKY2DpSC0oEFJO0vTR9F/pdtqYpmGwjwgpfR
gcj8nYub9r9k8ImmWFCawAlVEui/gTrGkt1jz2UDRNZA2JDc/3vgf+vfMGdMIVN2Rg/nFNpvoku8
APoVk7xeE6T3yz//DS/XpRrU18HW2R2Yt6DCIN7j39G4OizIfUZr9KcaF6YHoo86xG9zdCb06Rvg
r9AA6xUQRzq/YVEt+j20ihmX3SQlhkE1oLdM1ctj1DeRayHpePgnoZBAApxpmH89R34bpazqITqt
uQEqQq/cLGHj0P+sXKnnMLgc6hT29NeoMApbMJHKgrJaILi/hVKCNKm1hlEpUagfhs6YXJqd0xUN
9XOfDdq6ruiUQMHUrkDLXRYEsY/vi1POpr1vMcaCFCiXh67LqxukBPqC1k+NIQAFY+XKCJc/+z8o
179HyMNt8T5c7LtWwK4Opnoax5UBf7blrOz0OgdAnBbbPtMkp8C5g4qv1TmX5/XcakE0Hk0mcJ3I
xq9Wi50OtOhNokYtKWEgTyN241G+LzGXuLkc6hQl/WuAKkQEHql42ii8hU8/odUq0aRkJoI8KpVP
clpNI6UIxXuzpnWpg9hwQyv1Pduqx6Nf0hO8HP/MEmLhLOeBynANdfVx8yhc6rp83H6s41u1sKGj
8jHba2r0p8j3v8apooexaOAvboSrOL2M4gnywYaDiTdvcMBYFAXN5o7OInLBRWjtL4/rzCdU6XlQ
SFAW/oSxnldpTKBbIfKF74u2N2kyg3QCjmug8n9ljZ4NBaIepXSoWxQ0Tj9hCglCKy3yzHGoXtO6
FLsAidr3oZGoVyKdWyzgmVACpIINsH21Lv0eOQWMHJjEySrpQcRK5JhZoBwtW26eaW6NljMYZfhR
Tnzlruqpwl6e1TPbESyngl4cfr1YPay+IuprCiRgeBdhqUrPtk9hGRr5dFO12fihA1DsWr6dXvmU
Z84fVqhi4q8pFK6h1RmAJwg9B5X5LZDv2iDsFTqZpRnbAFXtQ1JK3a6rbWNbdlH98/Jwz31ZDV9d
MKz4NkBsOf2yWR+NXZtaFOBzlbeo0uHnkiaGa1WUnS+HOjtI2NYwknQLsOxqvSoNSGtuQN1BA6Fw
lWqOb0YEOb+VTW8eM0q/D30qYTAUlbp+7Ro5M0xOHw1mCKUy2frlcvLbNUJPLQ7k0gBrArgBddko
dhsFzZ5IKcIr33IF4v91DmhUA0ETG4YMbWE1TtjwIlFkYgV40CPxk3aww2Ze8gYm7PKU3oGTV3dD
U5lPWlbInhKL78j/FleO3ZUvyN+/g3mmbM3poOkr7D7lwr6fQ34HulwsZz/8AJDC9qKQWsVcVrIb
4xfj6GhIID9SgQiTf1z+4GcORFI0fgiOCDJn//JRfpv0FmZFIIc6+mF5C1VA4uWiJQDsTX2k1KXV
4Z/fadRpdQC1S4III+Y0XpljdKkbAwsM3TMqOKXmoooQIZshWVfW8pljSicNJVPAFIeEbzW0uZcg
ikJYdFI/RaBe9NQNdGUansyhA0KZGSYdiL78Icohva8X+vflqT2znnWFNJfr1AStLlbHJEhmucml
lDVmdJmDFPpSUkEFRZKnv6kC/2tKe2aolrXkxbYJPJI0ejWrZdvnuEIhWM0VdD/pWuQKv0fSaQib
bYpKIWIDckBlo7WwUgor7/JIl6NvlR79Ht5c7SbsUhedeknjyl6WbCAnQI9QZLoc5XSp/srUoVEp
vzgu/J2xWjoAFoYynLTSy1OFF7uamS9C0EMrbNn3YHkmV6ykz8ZDeJQbBhcGVDVXk5rm9LpT0JMm
tpCuXTeDS+eSzzlElMyvmjeffsNfw6MRAYfKEkJZxEZPw8lqgCGe6FpPLhuqdWj9budZ/ZqUur9t
elm51e2SpiC2VC5aCPqVE/H0Sv07OreborJjVJ4op9GlTqHXh9qg5xtYIoUa3O5ENZsDxGd0StNB
8WBVaQ+Xv+i5oMsjkZWLLwuN3dOgSheA8lViOMNKnN0gpJl6coM1tU3j+aew4gT9gW648llPr7hf
I7VlAwsablJoZQu95PcTzwcoZCU4VIBNN1BCiZDbj8qJZkA1U0zDcQUgZ6B2oDFL7cokn1lRNrsT
m1wSJ5lH4Gnozudxjx1k7WUtSnOtJAV32B7aSOgIBUrvLN9cnt9zQ1UQ1yUfZMCQIE/jiRB5D1Ud
ak+R4cWBVhcHYQwVEp+miWlcWsWLhEL9WCLteOWcPztUQdbCO5fkd6kA/D7LaShlwg/5tJMY4luR
g5cK23b8CCRYePFEXfzyUBWVP/A/Z9BfnxWIIAcc7WsO/dURKPeqSctZR1Go1GhDZRjyYkE3Y0Fj
AOIohIlde6kK6rKzboc/4HzbDzEMnRsNN01P6QdxLWFcJRl//STKKFQZYCPD8l5dQAl608jBNbUn
suED+8va2gF1BrTXECmxVZjbQIfuEHVCV0fGFjweBg3cQNhdOThPL6K/fodG+g/1FDcmstfTbyGi
TNP7FKzT2OkJkaf5AH7LchUTxfjLn+H0JvgrlEGLFSYU7GL7F/P4t3RCwqk9HHoIhFkg7KM+qODW
IBF9uhzl3OICcQ7zlDLR8gw5HZDCTRdC0249u1YyV43sdJvKk/JB7kzklxH/+rPU9O9hGRYNZOQY
DaoApwFbP6wEohetN9ZpvsU4ZDzYljbcDFoc7v58bCbJkYljnKqymE9DIagBH7HjY6VYuHulLPI9
ZuTAx1FBAesO9v1yvHOLA708BWYTZSIEE07jNfUEGnjRiK/qnqq5MNp9if6Z46tQ3y+HOncckfWB
JtRN1sdahRp3O6onYdh6bWHilgPi6LlorOQ+BXq6ScjXUfVMg3DTjn5yJRf7VdRbHw9wr2Xe/fzP
kld7cS4tYU4mJgBWZlo3jY157hjBwJ5E325VCS3UaGr81ykKm32YzjboJ7QVtvhVA+QK0aS+b3FW
cTCVEtatmS7WC7oU+je60uLNk4rJurKTzqQDPMIMwzZZDeyo1dntq6g4q3a36DBiT2hb492Iud6D
nefhPd4R3b0cSdrXqJlonuSj/efHKS5tFLzQKtLIX9fLIjXiiUImShMCrxAI6QDHPbgSBqJ5UgER
Fm6PGmwkv6GbVEum23QQiXGyia2dneb1B/QXtI+Xl8/bGeHy5N29ZPSkC7+O29/OFr0sq74VSen5
lt9uRdhZOLWJ9jAbg/qlkiftQ6Km1vusbqb3UxmZny+Hf7t6l7vbZEqo3ZI8rJLcXodEZhcNBQ/Y
To5RJUCSbcgTatOhu1MgxjenNN+Uqc6vbNHVK3E5flCY5PTGs9igwGou5+FvI5+powi9gz/OzJh7
tH/nHReWTNOqDMqfQprNm8YcgtsRnH/oab2p3iuRPHy4PAFvT4pFj4ZzHWUaAw786tQNha/MRT4V
nibRQNRTlZblqMT3wKSmm38SiiPUNslFtfXqYxcXeJkTKpn19lsNn9Xzm7oBbCJC88pGO/ddTSpJ
FkvdUsSatDtgRq1h/FV6hoxa9SZGQBxt2takke/DEJqzWWyqCmYBGZpN2+rySM8taq5LTmAbaX5y
wtNPO8YZpGE7hP+XhOqtb4YWVm2BjGggqIcE2YY9r1hpn1hSeKvnyhUlkGXhnJ6KNsVlcmA+6nKZ
rjKD2AfW3qppCTvNyt8FZY+ZyByaePEYcrFXkL2+cgWcCUjSTTOHmSbc+qHaT32LRoGUoeRfB/uo
AuyPPpWBdqAY59sowLHwygQvq3I1RDIf2YL9i9ujaa3PUa0UQ+TbmddTXEKALQ6PU5xh39I1/m1c
UgBGKS75BztWZSlRYiYub7rVddMXZYzmeFJ4om39nYZ85nHUGgiVSIS+l4BnHiqcpxUXFHvjxkWb
vDOR+/l+eW2d2bDcdBaaHxSXFAq1p2ursVTMVwMQ9bXeK9/Qh8x2mhgzqLN1/eFyqDPflfuZDhC9
NUqHymqWEYpalmkNXDbpgh+NaueH3FdH5Gvk2jWaeK6ufNZzZ+KSY/KuWWo8EO9Xg0uxsZusvPKo
ASMmL1UtcutYSz0jMutPGznV+y8VZ2npRdSAdijH+q2rBb5IvctDPzPL4AsFbqek1hqaXac/hH/S
S+DlQcUYCpT71K7pgY264mo+Dtfu5WBnVjNDReTAEJTQuIpOg82W1leo31ZeAuL22GWZ9jCbg7HH
6f09h3/g9VIkX8kFlm+32kHYS9M0wZuFOppYnfuGAXsymhhgkFTKw9AbvsvJnb1eHtmZY1gTghjL
s5wa92pkMUCPyJgMuKJwJZwJ2eaDn0SNMwvSMQeZJFzY4rGDuLUQkv/B8iX95YSg+6RZb9pP2DCF
xoglJsKbzV1WRr3Th72PNZg+KjszxC/yyvo98yHJIpZOJrV2VvB6uG2PXBb+cJ4l8IMoURNEeV4M
n1Gc+i43mHpsgl5S/3ypsjURG8Mgg9q+vrps0l4GET9R/isFOrtZYlvvWqQCHhGZtj5d/pxnDgRW
J6ph2rJOmdvThaqVjVJKiSB/1NA0LqsESpCfSbdKZCEvbxb5lYzhzD2qCxswLzIeFJTWPSm+lYgt
KwXGF4fopelsDB6jk3AiLTRhZBXDXY26LxdN64/ePE3iSi3r/A8A1U+LellHqwEbvQi5yPgB3ezn
X2o/7e7wxwBjhUrtXWlDJDNGK1hMU4pPca2+/Pl0W0AZDJsmKonKKnrcpbE8dA0IYLwvN61vVcBv
S9rSfa+OBw78a8JPb+stS18TG+cFyMD/sVbnr8iosBkwzVxrTsQ+SsD4ByOQK1kan/M4h+KFz5gz
4ZqMRGAWf5w6KXLi0UbHR7L6+8vDf3NE8WPo6aLmIutAS9YFaDkZKpyHIDJG1dAe6xFBeySO9O2f
R+GZyDEIwJwX8+qk9+0kn5LBtFxNpPM2buN5U/X1td7Um/tEVcl6ES6kI0wjfn2fFIxRnVGkg7kS
Zsje17jL1sawWLcE+8sDehtKoyqoYtZNl4KZW53sZSA42kCq4+QQ5J8HdgZMjkagvQQf7o9Dke2B
e18ybRmYyOl5YI8ZZq4WJrwVHgEQuqSF1I1UCdpdY6FP8ZWTblnvJ3cWBXvaPkvP1NTJwFaPNaO2
rCEadA3JBvMbWlO9ZwwQuWvYPOBsB+nKRL7Z/ESie7a81imhcAKdjk5JpkCbxajSdQlDN8rN6l0c
5+29PBj9UUZ7+gDwBxUHvwnnfV9Dqdldnt63tcZlrHxGKBBoltK6Pf0FoiwWiThMiHsO2MYJFB9N
O+GP+kuI3wpcIb3WXnSU+emEZRWQ36iKJ5JilAAR+U/qsb5ywS0X2OoL0HUDvCILIGCUH09/0FBW
c4JFNqTrRtK/WKUab+o2qB7UIH2cpGZ+AkXS/ghH4KWXp+LMpycVVagAm7+IIKuDKWvMRmor+lBp
EU0HfKFNF+2bFjtFDZDq3JhXzp5zU09VgtIEfRPM6taZKNbOWjd25uxSRqNgAmec9CGba3ZvmnYw
lhuj5Hk5IuHUu1CFRbOhjZRKjhz7qC3IKtW9y1NwZl/zi0CCaHSuFkms07lHjEzN0DaT8fyZYhh8
onRKebI9dnl7JdTbPHyB03DN85kpv3P/ncZS1VxBX8maXI3unBdbYe/hEtTfTr2ebzObcl4v9bk3
z8PkRj3gfH8CuH15vGc+OdmpzUtnQWe9+QI9Pgaiz7XJ7YRS3RQ+wp4qKsVeiY+ON3RpcOV0ObPd
qSTSskcd1Vpy8dMxR02Ki3hiyPAx4CgII6yOCgqxsKZxSFEaTavQCLGr9wBFxgHLyx4L9D8eMaCF
Jd2hIk15Tjv9BbEfUU2dWeTUxJKDKrfqZvRRSspHdf4xFDZ665cDntnOGCFSkcb8RFPMNcZvyNQE
XTIfPW0JX10Yj1p40HD9Mhw02Ksa/Q18jPAEzxCL7XQksK8M+MyU8/TgBpHJcRjy8vt+K4FBnQIl
YIWyK+H+hO7KjPvuhNTqrjS7El6NIeqntMRZtVL72Unh/1854s/sKRIMnQm3VGAF6wnQ07gGmVjP
7jB06ibulGRTKMHoWVo4XHnkncmtdMho8oIZI53U1rnkGPRpYiOy7I4dKjNuUuL/MLD276yw9vHu
ScTnJtdq10I/fp+kdgqrHrHMd1MtaiRq2/CKmu7bj8+VplF3RPCSbGFd+pwo8ymoPkIz14PyGOAK
tyejRXqsn9NDnqPW2IV1jxhsfm0q3iZ2VKYo93K50UWD23f62ROcbgzk/OH2NHq0R3izP0hsyStY
2bfnBynQL3FYVpeBttBpFAy+G62MdMNlW6lPVlCpu7gKdTfWoLRjJ4x14OXd9HYxEW7R61xwN4a6
bsxKYQPaWQtMHBsTlEb8cfY0rYk2fOly+w9CUduj0CdMFHBXMziknSVZaW66XMaKY3UW+6YJBZxD
DJcuhzo7jWQfHEi2BmpilYPMQR1JSugbLlqed2MXB9sIPRqvt3x0Q6I4uhLu3KoktwMKTLNsqRqc
fjVZxYnVVHjdqVNVPgMIRrUIRLXTok/9WM5YvWSK5kN6QQ3tHwxUUOtia6q83ldzOtNNxfFlYE4j
JDb6UoNBNSBikLdNuqdfcq0bc3Zi6cfIC4X0bTNdsQr0rqiDuTatzb0w0dG3A4N3HS7wN2ZU1t8v
j+/tYUthbdnsoHoWUc3VYRtnQZQqCfEGkwlUA5y8wsmo74YZUSEs1E1cU0oUM2o7uWkV49o769xw
aXxS5lqU2w11tR3bscy0JGV61XKy94inaTsgTQFFeVs/zHhoXzlvl891mqoi/SmjIgkxl12y7gCU
05BgSFlDyPTj+pjSw36SGlMjd2x9V2tasQ3M4Fp+fDYoTzl4Dki/U7I4Xb0aXnCpgeulC+ISvapA
K5wwJnlalAr2k9RXu6HEQO7PP6zgWcmbnZefutCdf79FlTHW7ApREbex/KJ2Ohzvtg2YFB1SZ2/+
TOQAOQFZiRLAMRGcQb0W4fPln3Du4wIApFTKLcpdvkrP23Aa5jZUDRdhOMTPRq33ZkXy3VKaUdXs
2msvo3PxqEPxKuMaoRi+OiXs0UrTjNKiK6na9Cpjo7YF7Vl8VkDWa5smKZJvlwd45myn7AVOYKkR
mKDHTucYF7WyyDpNw1pEwSM6RC7BIOX1AtG9Xo50ZmiUCjTq7ZR9uEhW523c4ryCTwT8MGDWMd5E
CEVEXoTiAYaWiGb8cTQw1yCuyUoAbSna6biKJJXGOZIFxnAadSyNkoToNIxqEzxVmzbsryQdb0fH
CQRFBpz+UjewV/HqChc6U4oCb8Trdiu4oJ0hliQnW9RaRr/vryQBv/Cgp8eACVqHDu/C+adksApY
pr2FKh6PhTqfVGi0kfVqzU2GZk8vv5NnTf+Soe37EOK6cBOVXZXsfGGHWzmLhjtaETKNBmQ0U8u3
Xkhgee9env/la65/Hq8bHdoUiThf4nT+bU2iJ56HvmuqqblnZ5YIsmADdDnKuVlnp+ic/Vzk5Pun
URq8auBiYPEZxQOOrE0R3YhMPGfCbm5aqX29HO3tIUhLjgvGBjOkgBla7RWN3h+ZY+ND5Wt6lO0l
27H9Ao20IB+3oSEwgg7zazjStxuUkhB5A1+ZC47dczpEXUOLPzQXI2oM9xxlzrD4SgId2Sfzj9s1
pHZkzaQoIOGWQttpKJThZsx2G97FaTge2kDAHjcrqNxpib/hIFe3c4ED4uVJPTM+g7chxw/kiAUQ
fBo0HsORrpsZAbMzwLbIWQdkVXRPWdu2V/rH50LRWxRo0LNxrPUztMqsIEx8FQ2pSdF+lr4JE9OE
K8BWQBdld3lc5zaowQ1NHF6C/J/VDuDlZw4DAmCeyMfiR2n29f0wzB0m7fSodnKmlVzUOuLUo6XW
r3KXF16TB0XuDgUG3G3LVWMPevdhCgY0F8DXeJd/4K+Mc7VFDYohgGjZpYiUr35gkaZYd+Ix6I09
6pabWtGiQ6SW0j0CzIsFwJDCgB8z9WEe1PKdXw/RscH1bVfh63mstGK6R5YpAF8BJnWUax9Bhrzu
7lUpzD+jd6ypG7IGepmVNF5ZM79O79VPX5pfkCEopdMAW+1ETPoKXGzb0Ovk/Kko5fRGqZJwoUmF
To7H0SbMmhYxyVLdDCJpdxKXKuSEznqX5mqA1iWN1suz+eYk4qyDS0gvkE46f10lSAtGLEdCWHdi
tLRugjxpkDnQqSAm2G49GrKfbf88INuFC4DG1VLYOd03fpsXEk7oyEagI79Xw0Y7lJ064oWVFzdl
H15bz282D1w3woDPpXhmct6exhPV3OmGD40KO1rcwKCrAE8AjzBjreBeHtqbp9LS8FuiQEfQQMCt
5pKkV4pxEtadfqgM1BCpEqFDA7OQwmhHzz5BzCNDTxvV1OZK6DOjxGOGVwQPXvCg6/xL4jHWZGWl
O6PUQe2mm+tq9K0dXe+6x8ujfPNsIQL7jzKgWPrj6y6u1sY1pSgIF2Y0zJ7kV4IKhY+Meoa6CL46
eBBlU/EYqvilW0F2DVj+thBMfLFgTUjqBX2i1QIKiQhuKCY+lB682NG2R1u5j/elWPj+Jf3zyGUf
+c02QpD4Gd3l6ZiIstoHiT84lydjCXayoZcfA6gHSiW1adrap6urBAWhiAD2S6Da2GqWinDzJm/+
fJMugkaLYdjCUFtztuQq7FVfFDpiHUG/7WxEUiVAixur7G03KbRrT8Ozo+Ktpi5s0eU9fDqqCYKI
GIExOxodhZshD/K7rurTK3P3Ji1Z5o5HwwJy40Rcp57KkAETGRodb2vN/64VJF1aZObfEpomEoLP
qv4wgTi6QnA+c+ABv+WFT2UBjrq+ehnFJH+KPgnNiZRFplLNMzxEzVLeznqFomyr1ddqQ+cjslmo
7VHMXsPsarXqTYS9Nafq5wHR8gIlpgAxokybQajHeGn+6ZpEZIuKCVAZyiZU60+/XqaKZFZz4qkI
gu+M2GpvaDcaV87xt1+PKPQYQarY5F1rIg2im0FIeRoyFE7x92ptxRgY2NO7oexSgJsI2ccYDjXG
FRzh28kk6dJ4HbETOIDWWDpeQezpjq2gQyfcd34d73VccrzI8uVbw0rHK8N8e6YTT6dCI1TBxW2s
rg+67ngcNTagaRwCPF2MyLLbqvBsBY9tOn+U4Qyr2RQ49l1LFpbvdHq2EBpSCb5DFkpr6/rQFOjS
AI5ac5Baxwa+HZA2QiPWqxuRuROY5E2g9PU268bBNTLkFiVT0h5lA+zu5QX19nLRZDYFqS7ED7Ls
1XGACahfmjGHHNqoiedXVejISisOpoFT0OVQ5z4v64qyPNkdAg6rUPiCD4g9oxoRdK3hilJD4kyZ
pL1qiH6jNO1wJds9G89gbhfG8fIwPd0rTaopA5hRlhMLywukjAnszPSu46vCkG2mK8/fc1MJcISd
aYBJIgU6jdeZg8lzARGHxJK7jSLHqTuFFtLminqtOf/2ENeWpwkwfPIfWhyrUFEjJaaWE6oWQefh
8dq7Wo6w2J9/MLALFBBJaakOr/ZHMEzISFb4uw1wfBGbQcIn1CcfR934m+iFcuVsO3fqAEACX0WD
iElcvudvDSq8RhK1FArE1qapyLBQvk2TXILtWTeHBma30yi5eWWRvM14KOMxNnYBVBG6UqdBlXKi
+StaHetuBXS0FNvdw7gIZMti4AGSF2P9YElV9lHHpfQwJvL46fIknzuEIA6TYnBfwt5eZuW3UaPm
MtkJGDBniqbQTeUOUnxXRTtFsu1n3rslj5kcFVKzHN5fjnxuf1CrJcHhuhQM/zSyNuJnbw7Mt5WW
1bbR2wpRJITr7aBtN12DjfvleGunO/JXwDg69AM6Kdxia9+3PDXkxMTow9Ebe8AbAltp2JJBZ30f
LB6+rpqlao5ACAr7rol7pLyZMjTz5bEvPil+joq1npXo9GtjrgReMZaCR1XUNsNm7Ao0ou0wHQbH
Apn30kSm8hOXowB9qgpf8T2I/wSHlirHW4o2XfxDE+34NTFHpM3pAQDhMPA5QEJu7ssr8IYzS2zh
BoFp41wg7Vqt67YI6V/PEMTRAR62YWJiQ2KnrbcoGTlh1eX4VZmVg8R4tsH+7xpu6O2bmoSI8jye
WoswEH2J0+9sa41dGr6lIfuCIfSk6WjII+YtvyKfj5B3F9fdU6sASt3oRsJ0ZJGmPlfKZDabuY10
pKH1gDY58uQYO7ed/2BEXeVvVMrb4yYaOhJv0Fwo8AW0XuAehdlwLSE5c7TSGgbz9EvcgKfB6RDi
ac6MsCaxQ3B8dBV7Sp+GEXtdHuSTd3mVngtl0DEGlUDPD9zNaSh8gctSYUOyboBd8ulo1SjNzK2R
tlfqs2cOvIUb9D+hVhdijmKfgvMgSYDRKbe9Wqaf5uVptOEVuIhd5tW4H41i3l4e4dmwuJFDQqFO
QX53OkJdD5BTiRihVZk9nhN6s5iCD10R4XHUlZ9sO5I8X6+tK3HPzCzd08VsEXghBYlV3NBq8jHk
9yDAp2X7ZHExLVurWvx/Xi+P8GwkRLN4ynB6c9acjjDNiqYdp4QXcyhyAMEjivR6VaubTJjVl8ux
zlzF3Iz/ibXKMsa86PMA+3MnbFL5qUcL50u59KUvRzk7IvShqKmQNBpryrUuFxZqzCXKHkpQgeKu
7MeuUPNDVPjXuFLnQil8JCz9QIEBiDudvKiw0RQHUehopQ5Bq4buAFQn2atdFt5cHtWZlUheQSOE
Fh7PxDXotM/EOKihz2tmqgE9oWWxlSzk/RM8gnZJXCmP05gZny8HPffBwLYtC4OmFm/g1fiszhZF
zwdLp4y1GPXQeFVQ85ejnJtFntckFFC9+GirY4TyaWdOFUNr6lr9HNT5jzJXxaNZJf9grTMUkhTE
p6hwrT6XJnoAqv2oOUXYR8fCqLhF1CDA/GT2pSvf69ygSKeh0nEW835ZxSoXxYjUHjQnVIfWNWRg
d21HUbOYpmsk3nNfiWQaWRcN3jf9mtOvFE7KYFQDZ6OCVfZ2xmxvJ1r/j5GO1PIWzi5Ma2aJRX8a
BRV9azBRxHBEW38j66u8LFHnrcqAnN7s/f3lRXF2UEttdPED59m5GpQp2ZNeWh31CUqldzmGp6Hj
p8KX3ctxzu0rGPz/E2f5jr/llMuNo2oScbQBnhbOwxhl6LjeixT3lXm200PK3r5SOzyTTvLw4RlN
a0FFoWEVFFZLYKb5TNAGounG95sIQfqp3VahEMe0tYryyvvk3HTyPqHaY9hYU2urxCpWkibuZJZ+
jcPzTTuXX/NAVq+86s4HYZEs7BbI/6tba7L6bFBNbEIrjGgOdhUD1VeT0fnzL7YQzGTKZtSt3rS5
lBjvvFbVHIBM0R3KM0i0plHt5hN+TZJv3Q62//NyyLcDo9KiUtwB/4i595p+ECutWioDax/DFtW1
jdJ8VHrNer4c5e3zZqnnKCT+S2cY1uvpUmyyXg1DiLawSES6G+JmvlXjyHqXV37pZAM5QIHuhJMX
OCRejvx2ExAZkUwKyhxWMMdOI6MWUQ7AyvlwVp49aJIWvQBq7m7xTK5vNN3PMeUC1Hw56NtNQCFp
qTwuGFqIWMuk/7bzqG42acjmg36FQUslGRY8Ooz/dKP9lHOLbv9JOOCcMIR+1c1OwylRYKLas4Qr
/i9p59XsuA1s61/EKubwSlHSDhPsCR57XlhOhzmTIMhffz/MwzkjiiXW9q2y/TLlaYEAGh1Wr4UC
khVkwSnmAY1kPv69aAhVv90c3hLNe5wl8KLNhRsd5C3clSteiIlpK2B50DWjqIdYTvG1mCrtoJ67
d0SVN1FzkQQiW2Q0qufM5CRkLuRWyYmO5vykp7590ILdOyjgMShM/SjcbEtgeQ8ZHiOIIE2CIftA
4jvD9pvnJ32dIZnPOuSekJ+PHn/KnaXRRYJQRA08gpTYnE5AusHIQDY7pyXza2mWKRKTeJnHVpTP
vS0zgv0i9QTl7GBjGwjbnedWY4mVqVoA2no1yh22O3yE8Kt4czJDnKNKKPy/VFO3vbiZQpRwKy66
metxpFkSRvbUX6NgbZuTYSu9Wgfx8Mfr27luLm161a3iiNw1AOtuzWy0bAlI7OkPo0ig47fN+hsC
o1rox1VxEP+oTbn9nGpeFqQFPSp6nFsUr+cgUlStUMib/jL/YuezPDN07J1ghklOJfLGJ63SqheZ
INvop+YRaeP9bjIcQeyg06NhhNXZRCtlKko9WDyg+VUyf/fdWIfDnuG489osyXTwaXeNqaIFG+oy
fr3Ja6p5lfq01kwEd0V/7bLFftevi3slSzWuj3fxfgICBhrb/zFCT/kUmoZbN1ZrqFY101JBvF0K
hn+EPOtciXOQT8trMsrinSPhQJKpw2CwJt/Zwu9/efwb7u8jdulWqVcK7pgt8AAUjeZaK1w4cPHK
Zz0z2nOSremBv961ot5aAk7CP1t99J+eB7JxzmjpV9FsTuNTRpQLsoLa3+O13N8KFagwSqOKe6zK
vLVijb3UipoimjVQ7rayVTybo0heMhdVaii9x+FgA/eWhQ+jJs3A0D36O7EHiJKBE0RrZ/WfRqNw
34vWHw6i571leWBCwK+Yit9y8/Gq3IPfdk1r8HKFDTk5FADl2ki4zmQVjkZyZO/+XeAL/mRP/Z6f
Nmtp6CkzmVJH3qK9L8FDfYOYdXnKnAbB29X/PgZpcHDp7pbISDG9LwWgo1x3NyKhx/XUVonS3DJ7
OxT5FJxm2+uf0NEz4IZujmD7d5cce4wEUIVCNlml/LdL9JCCHsZccFK0FBmIvqXxYwFv4FeO0eND
+aO9c+M8lS1LtRE4JMxObyJBiXtsIPKtoqEXC/JYs0x+5yzJj946Cajrsqqm6baUp6WagnPXBtaf
epabUCkXev5uXFPz62pa8IouOZS4BXJ2MH4J+sp2Xf0J6we/v6oadCKs4clw++VXKtgCyjark5Dk
9weB3u6Xw2fRgOGFpVt6++XqFppnyXWKskq672bdm86OINnxh0E7OBR351B9OMwAyFAso1scwiQ9
S86k3lHpLt+d2a/RpKtQc8jHFNR8N+TiZJfZEfPdnlWFEAOUxr/eNkCpg5SY0pJV1GjGcg5W2TL/
4GhhDGPOpRo1HZi+aZwfH5K9r0qxhAFk2BsB+20811rkU9y5WhmVDjxkfW4u0QABJ3XC+gjIvWuK
hg9YM7gEye9uN3Beh8VLQAhEI4iw0EmVYHA2x1FK5fut/pgNhFEPgncwAqrwdGsKosvZnn27jMa5
8q8eXbVIOGgea0WaXqygin97/BXv31NlENiizQgClBBb9IUmKbWZQFciA5nYPjTsJrgAdC5fpl5r
3s3JOrxqMh/g5C2af7KgN8+enjcHL+rOAcIK0A/m1mg8bAlcggr0YFP7RQQXgxf1mdVEq7Tb0IEK
40MQB2jUVHZ9YHRnV3GdxISU1Xn4tuiWoRoZVvTtIoLDMDvHUBF9WQ1voPUCUuLxV941RX0K0mHm
O4jLbne1q0kulxlTCQr112EoEfH1zenD4PTl250NiB3FKqrGne6a9LAPCtuqNUyJLkB1b/UvGoRK
p6buj8oddyEu0Y/isgPWC7kzKdztqhKE5YEpxQVEMFUQ6UnhXFu4yk+OQGHadTp5RrbTfuoVYgFS
qaO0aO+jAsxWVF2kEhQmbs13RESuHidl1KdGGYpJg7m1VUpGbTwdFHZ23lpgpgAfVIcAJ7Dx4KuX
px0q9mW0WkJngqxvP5cxTFVN3NdPRmWV18fnZe8+UDgl+nOBtlB6uV2aNVEkcQtZRkViti+V5yCV
05r1Bd6f9VQYFTJkad4duB61iM2jCyH4/xndPLrZUq2ih0UzkrEloFCuyuUzQ93utakL77mw0EEP
Cs9A+ME2iz8eL3jXNuUssBeAFYBN3i7YN+QyChPpNlOO1uta62NIZAhicrDSU19PfxZBbbxM0j0C
7u0dIirHig4XxlbwJreGg6WufS3LEG4a1+RpIff9musUEHBXR7DQXVNEaz+eSUXbdGuKylZZt3qN
WJdp/LpWuve5ER4Dy5MeH1Qp9ixZAZ1cchNF279ZFB9N2kzrFRHYuuy0Dqt2nmVdnnPp9Ze3bxxD
o4y9E+yBSNzcjJq6YO7quBsoQlFDrPK+C4Oy+tR1vYasPRPLPJLof5u9/PrY8t7LRS2SfgvmPSbn
lHv6KeYGdgpB4ezg6VbNiMwgty5drw/PPjLLp6mXC5rAmf9NdGnTh6ZqpQtqbAeh6t5NpVnOhBVu
gVd7s/4lzgpVNymi0c6D58lM4eqz6xQd6PpPw4cvm1bOEa3bXQqF31VIE0UMSB667Uq1mVmJBMk0
VKsZ/0SBbvoV3h//oKC2dyUZSoG6SNUxmPm8/bxjlSwyHYIC9zrJj7XNfvoLaoC8lt+92GnXUzd6
7YfFhc7i4KPuPSxK9oG5OcCS3hbFPNcCGqO+KiNbmH17ssdsPsuhSJ4cp+i/5WPr/+kHiUzD3q+W
07CivXzwC/YcvprAB4cBvQdRyWbxU9GlkI8WkcsjdyJ9BhuSTnk061Rv8to+Gvjfu7HqBSV6B1BN
Zf/WXla6RjJq2HNypzz5S7BGRofgdBr05cGN3Vsa4z8k/VSHuLYbU3kvvSFrLMKeIDPDoPFdRvnj
4al06+U8D6t9cI7ul4Z/VSSedM2oLm5b+a7dG2ucJAWKbPOnpB+ml1En0CxB8bw5oAOCQUlG+SJ6
I9t4BPn5pg/soYiqvJ2us85lByovLlUv7IPzcU8aoOAe/EM3Wr2YW78XDLVNMbgiYtUy+Yc5FAJt
uSmDeArm+vXzQlPvn1mWKGgHU0ZT3Jl+FU3thoja84PmuTnwhvd+iB+jeFJxiUxfbgGFpa559rgW
+GEtK780tTMjZ+cM9pM7U65CUb0dviZTWycHQcOuXSosMA37YA22bd7JTKp+FHkRwYP6t9S07Az0
wHs3OZTCybaXqJoc6/Njz793opjmQJRAkQDege0Del921TVFZM9GyazgXFy8fNbfLxZ6Gv/BFK8a
XHl4AfKk23u5zlPCX8o296AbL46PYnnQdC5CJv2R/tT9vTTBanCAebEVuH/jcgaEwJ3JxtRsm00o
CmbdR2LcqEsS/Qm8mfn89qWpVwuEDbBQoJu3S+szdzLrsuO21M7H1O+bE295ffHHdD2wtLcyEgVO
hwJr3r1XS51ZvjazstLNFDcRYwtrV6Fym2XD57Gc6wMQnfrlt4GsgogQNTOQQVa53TTbXBLNa7w8
co2uuwhPGz52fm8eQCL3TiGwF0X3r2bZtw16w2yo8VdtHkFtKkIqH+7ZKWh1Tfic8+Ot2lvQz6bU
T/kp0qkze6zTEVN+UxgfizHOrxB4i/9wlcmjaESC52difRODS55CI0H8BtKwQr4G9ei/j3uoRR0h
4788OpKndjzsy++cDSUzothX8Ftc59ulJUNd6Tz3WUQX7Z84pnRTrZaHBgbzZwszPW//kj84toGU
kvRDL3NrLoaVym8gN4EHoBsuQ+rKX5iRepvuGQzSgMl+FMKI9mlWbA9gH5iVnXZYmapWIOSZx82p
69v8u0w1+QF46VFHYucsMpdAXYFIlJu2rYXBwOdj0VJnUfYnRsCck5umcCrnh7Qje6Z48CgsUM/k
9du4qWnSW0n7I4t0K2vDJEaZRSTGiC+mcPT42O89sqqOyUQVsQrR7iZjstKCaW+cblTOMaqmcAL9
bcSaXYdxpthVSvTQfMQJolQG+jWBNekEA0p5racaae/Knf58/Hv2lq5gCTrHlNRq23qymTWfHa3P
IGXXso/GWsbvcXpwFOnJEf5x51n1aJHSraRVyYjo5loMiF+51dpmEVopZWh5XX8p2gmsdZr1Aooi
Iz43RbA+vXWBvD6AA4AbwTwAo9nt7UhN2ni+XjB01WfB2ZRTHxYSh+DkWX6Qot7fe4vRYuBhzL7T
Cd5qPADp91q9yLKoknMZZkMnzgDW0GppmOoPDLh1Hy/t3oWC3lOVVYp9LHKbpzEpDEpshFB/hSru
G7Xe6szcoHZ9bOX+hECd5JErcTloMW8hHVMh3ZK59jSS42xFVZd3cGUNSOwg/hI+NrW3IGZZSczg
rLonbZ9ryOZqQ0siInYN0BuTyjNl/uixFXWbb59SLFAVRv+DU8hpvj0RcI7SFhSpjGooqX7V+yC/
uA68Uz254bXgfwu9RKt/HbrFf/sB4RGnukg0pFpOmzSFyXNPBijHRrzASLmMwXQZrGH5t15z1CLq
Yjk4+zsHkmhITTeoDgpDB7crRXQpHpwRe3FfLUCo0ISv9Cl5DsxuubolM70HG3h/xUkeiPTov8Lc
yB7eGizbEX6high5yLv42jK0C8npap7irHdeaFbZL1Y25QdBy55RZlTxYWT2kIypA/xTJCEKi8hc
ShkxOV+fzWLyzt6AxpXhTto710yaXzO0zQ4Ci51bATj4/4yqT/+TUd3swUgAgKAT6sanplv9V5pQ
86kfy+TT4/O6uz7CdEj+uRl3Q8ljUfazaDmviOMufxnGjGyGn2n1JTMXLRoqjlLdeG+eHiMPZBCR
K08tGorXzVbakAo1Mi1lVDhMqdB1WyIJJ/kLMWhAfc/x3+5msEeIhpiASuQ3u9hOa4BoVi2j3Fu6
E6HOeLZhoDzNXu4dvME7DoDU7gcRIH0v3qLbvYtjbRDN1MpooHfzusK3cO5jiyGjPM8N4wkuHO0a
G3r9vrHm+MD2joujvae6YZRhKIpszk1hynzqgnXmvZs/DygpfZSdnX95fGJ2Dic6ykwew89ErLEt
hxA1GTUarnM0pZaiV5yyK897GxXZ0h3kJTuHk2E/epbKsUFDsAlngqwolibAe/o13fm+ECsVSb1+
qRz6fWWbD79plSgPjO6sD9IDSnjKjxo8uLcbuOjaSmkmmyM3kEGY1qUewbU+POXePISPP6Xaj9vH
gkluxsQZUKf8AtPCrSnXGWIjmBn350Rm3zWAcCebEalPVPGqKKfwf1BZ2rUHahMkDuAjqh+39hYQ
F+3cEw/Zi+O/VKXM3qdl0jJvLJPqry6YqgOD9weSBdKbVTxtJM3bjtPgp90sjVVERo9GStKJ8TUb
5HjwEu1YgXlOAYwUJRAUGbfLStO1sMxOmyIOLKPNwCBe0CeqD5zyzsejaMMoI1AcTuW2YLQKa5gM
XtVIpNZsEVHP4hrPSfFN66fsdTX6+KAKsLMsNSalmCKoT/HO3i6rceYmo6k7RUFj69fWE9o5PR6y
v79jhK00IqAlV3a2SOXVN4sucNcpGp0h+yXpx/hF65cMzzwblJMn7xeoTfqDHdv7ljBQEKZA5qRS
y9ulZZk2Ea84E5imyv8L3t/ylORSPqULtNu5kEfUN/d3mgyMuqMi6WQ8YAvVHIKOma+2EuhAVQjl
pFn30tscGKq3RzDenV2jvwKyiXobo5hb1M8y5cE6jDVHvhbdS5dbxrVISUkee46dBXGLgYNxiakh
bh+01cm13jdYkIzL8hcz78dzbjeoC6ZH5Kr3lsCLgLdmoB6YjL31GTSrUm/MG2IRX+8/2oPufAmq
ajUZTuyC9GBZP8bGbz0i1n7sEkTJuODN6wndlsgQzZPRlKWNgAu8VhD9NfO9EF4L0quVLsvTlFSL
uDrENLD/LJkDg1Sd66Swre6UYYwy8d/jqjnDqQjG5us8L8vfmj9kX5bUFn8TtwYA9TqY0J4WSsxW
WM6mtUaPN+j+WjEDSIEBqgzFmbFFiQgGGworycYoS6jXhKmsmq8FbaOEMTnfCiFZZwgrmA/u1T3H
CyE51SGGCiBo5chvHq8AjztUaTtGggGvbzJeNViPhbMa53aalvGaTbN7sZXG7qWfGT53l9j6H83r
Wzdci9QODlzY/T2HdpvcUUE44Fjf6nXLNCmHmQ4D3OND9jqQKZ+XpES/ShTja5F5ycF7s2ePnjSo
EVrjnFl1OX8KnG2k3gsjHwm+Ksc8VXDjnoOO2dsU7GQ4oZ918CbcX3bK3OiRk5XgYO4e1EHQVikb
4srMyzqwDj03sC6OouU9K8pV0rGl546rvl0VAqDAtAFjRqLOg2uDBO6FllR/cGLvL7qiJVKkhjzY
xCOb4ECsvdEkyMtGielnZ+pu/a923BWhzh18MzpEmSJGZRicRvAWQ5AvgNnLoCP8R14sdNZq/l55
iLESkssnN26S3x5fxr2lQVMB/RJ8l4oZ/fYDtnCvMclEXNza0j/1kJLnoVk38JdZbvn3222pQITj
R/Geks2trUFrJw4MZFXLYKevvH7xmeJT8V5oS32kMrXjZDgQxKpKu4lAYbOuXsoaT5CQvOmT/qTJ
wAthu2vCFhDSc7c48mSSpp8fL1At4NZFQ2ZCbIwiB+8CwPLbBcZGJ4NRVy5adhNgxSz9XBXzpMQE
/M8LjGHPbSy8y7AI4/fHltXfvLUMczO4IoB+NH03J1QGSbCuJds4dRRVYVuDegT/P/t/Pbazd1yI
juHqUiNpkOXdrtAvPW+Coou0Y6VCXNFHDMvWb9GLbeXBx9xzWBANYYe3ldx0Y4oGwjJrSwy1GZcv
zGGVu7Q59AW537+6xSz+eLyynb0jlIQnRkV7FvjB25WtssjQilXJae0Y6ISC0JyyoO1Csa7G0zKi
R5ymUxAKaz0iWts5qyrwIu3g2rPiTcgHOsMwq74gjkjWgjlJq0SaIAMrYJmj9jstwjqUXiuvjxe8
s5U3Vjff1yqTZV1nCg0W5D/IFJbLq5Ek8tQG0xGhy/4CVflZUYZybG6/LYvWOn3BqUk9yS7Sdheg
LA01jYk3GM30+dUvjCN9C/WXbq6EaipAVqyIt50tTtKLGwkRhwELYKFDEJ30yYd4Xt+Ox+ZJpROp
IioyhC0laSlnHQLZjGcuSH4fy9z7VK5efOmtyTwaO/0xObhdEfU9it0EUAgiqs/80xMOcUG8jg0I
GXfwq49OWk7PIoltoMNZ88GQUvtnXPoxMgdveIEPuvlkzcW4nnAOxafVcfDsY+k6CGy4/ySpHZ+I
NIb/oddK9bV0FqThkumo27h3q5ikI0Wj8Y3I16YSGifz2pQtL6eZropgCmrwsgdc2QAyiuBxbs7J
VK9n+vrawUN6f+YoMeMSddwxnY/tmZvd0RkLz4PGSm+zJez8ov1Vr/VuDinYZ78Y6+IbzxPjPsmB
4ft7RTlGJ3ujJIoSxBbFIIQFZGSh+DsurntZxy54Jbsvw1XE8ZtdJKbUHB+kznSRtoTV7qjHrpT4
rHzRamZ4PdFGWj+7Hx2t6YawGKwj2qLdxak8EXAI4JgtDbmudT2ULRPP6ujMUZYF7qVCRiPMzN54
euyf7o8Oi6OvCnMPkHIOz+a0x5OZ2/AgRdXo2ZfRXIt/C632PyLYO5xbwbCfMzIIquvFEUT//uXB
Mp6K5hzFE2ont5atxOo6N+BOL+0qT0Eh43dNxUuXxjMkB3XR9p8fL3XXIGJLtK6peAFZvTVI6Not
QaZiZd/rXj1G+MKyyZtT1UvzkmaAgx/bU2/ZrSPx4RKlg0WTQmWwm0+b2AZCLy3+uEIG/SXrrfkl
MGDgWVB+iuBnKj83gDmujWjX0F77P99s3fZUPd3iB9Ah2SSyiVl2Ez1B8j/Xpq+cZBRtQ6vy8WFB
P54K5jsujJjV7/NsGs+G2R2h1nYO8c0P2L63c6cZ1eyN0djRxKM9AoZkrMS7wZFHg073jxBBBa0r
fi+AVrrPtzsrjcILqqCeIvSuhwg6SPuk+xC3Pv6iewvC23EhqSTCFbs9sPPsuK3opqhzadnHC45m
iSeU4PPgzQIaFCGootOaIFxRZOu3C8r4w9awpynSCyRTY8MuwnqGp7BdKv2UaocsUntLY5SQwIGV
EfNtwjJR97J1Wn2KnCKpn3wNR5qOzfq+Bal5evwVjZ1rqGpucHPQB0SUansuLNUF7c0JzB8jy0Rf
9LDDYtG8v2hpBWuIFrBzQXV5qa+LyZj/OYV756M/pU5Fp22CYQi0hDGdqTA3n4sldt95TZanUBA4
yxHt8+53UQqOkPBZ1MjVn/8UC9B3oxpUjlNkZmP/NAnoqWSffsmSMjhwTjuFE+JEpMIgGAATSKn6
1pQUfhJ0Bp9Fb9rh0g8NInUaJd22z9tz16efc+alrsjmSO6u7p/8YB1fGNnqD/ZnZ3v4HQQR1NtI
CLZvT7cwhjtBVBc1UxmgspqtTghxm3sitbWYV0y8Nyc7vHMuH5hsgNB121VNUYNrqzyZI5lm07Pn
C+qVQlB0c2LtYG07HpnBAfDnuAvyxm27Q68aQHnLLKLatVAiYEbsec2rPEJqZIwYLQQiM+riqVvT
NbKq7Ah5uXOaqHNTjcO2yuo2J39yGaXNGp9uS5boL35p/VUhvvOb6A8v2Y5DJJ0DBMktoxK8hWN3
ULTUehZD41y31nkai/bLGnfZASnA7noAmlNkRj+JjvDtkXW60k7JTUUEi9T6kq/zfE7LzKBoqrUH
O7cTplCrgQqDeRdA3tsYrPOCuqIDIyLHTauv0zrUL2UcWJ8MszBD0SJNVWeGDKvRfntVCpA3pRTq
UgZQu2DjAjyNEwXiXERV2RkRIzfEul2Tn5d0tA4Chl0foNj86MUB58Hz335QyI3hW3Lo/PVj0F10
o0quVZ03Z1mkn8fGKX4Rjjm+wxdVkXDXIpwCv7lO5EYHX3vPBxBWM2DOrDJYyY0vMibf7/ymnKNm
gR0vLNeBfpNulPJbWtsAptMFqvTHz8JOIgEamvlhpijp7Vqbu2EvpluuOU3doBszOv7CQpjK9V79
BZkdiQLZSYvhi3psdO+aqI2lEQ7dKonz7fdeGCWcTGfie5M/haUrtU/W0uS/PLayd02IrNUBIhRj
kvzWipdbmWP3qOBZY+Kc41g04boU3QdpNkcT5rtfkXPDM0LhCGDDrakgWfIJZS8RoXAMgaIRM2Kb
TaI5wwX57ygr8bXU7aMSwN76eK9AUnBifN6uW6N2ZTiT2zRzBDGH5FBOQxPpk2t+mErn6EHeWyCF
bp3TqboM275d2a+xOacLLscQqf/sOmOWfepgkHa+WlK9UkkDW65jzuVRZ2jvToA+pSyAS+P12MSY
87rY9gjRQtTq8NMnBPFRK4bpMmXGfAZTeMTQcWRvE7/HRiytNsde1o55pHciPZdd31z0JfAvibCO
WMX2dtFBWV51ykH2bskrFJ+QmJZGRBoYtm9I7qGQPcX2dEYVPDvokhzZ2hxTSzL+X5jAAICgmOd5
cYKXeqEe1izpEUZ/1xTFYlrLkFTRQrw9nMlodTBEAgCw2sr5Ok5jdkpFpZ9BxL59ho8OL4gN2m4q
p96WJAoRaHNjcjYbrQ+usNv5V7MHBRBwPS6PXcqe44IPB4FEhX2jsXC7Kh4gv3ZMISIGqWzjXPM9
hZpCOPLKe4eQbIDTDj0T4OuN60qLjFK77ROU2m72q62VLl0FJ39pPTsZYBFej+733nYp4VZmIcld
GXi6XZiPSDyENQmAWSK0i+5O9qWr0WOL5WQeVD52TSl8A4KtO4MidHaT2lxjAl19qc8FoqFfOBgT
NQEnPzC1t12gc2mRUCQlc9x8xj72TTSAMxEFsRiea3K7z5p2qFawuyCw5C7PKF3fLVgJhq7VT6ER
ihqmKK65WyGA5YqpCbOmLQ7etD0/DMrsf21t9mm0GsvPPQAMsA2UV0aZ/FdPk/6fY8lgp6anXpQz
WvYfTj39OlgWgJdT71RB4k/ZWJm3YzfluChKG82/ldEzwZWMfnwQFex+xx9juGqwGbjNrRmnLPOp
njn0TDjn+bNRJvZLmgxDf9ULMKaPb/KuMeawFFZDYZA3z0oPxKtJlpacQAx2HFqtk74sY6+R6hl4
+fA/WAMQAD8lHEVIct8uzYDAShdF/gOG0nxw4xl1EGm9JOUhd9feuvh2yOqAeVIjAbeWYiP3DI0Z
O7BDZRLpa9w/IwnyNRWNdgA73ksNyD1IIcnS4SDfhB/u2vVunfEFW6SuvmkSZgGvMQvFfJ2dxTjq
YS218rTK8tvjj7lXyUCmERZq+FuU8ujmEiRuoBXVTJYFj/b66s6IfDfO0lzzScDwPmnOtaxs+UvX
iux3+JPi1x5yxPUEW3dxbtJmuLp5Yn3X46ly35VuWv87WWL5n8c/cncfVG8AHw5VyPYwwz/e5kbA
+xfos/M5T2fQtaWW/BOI/Ei9ZO+xoEcDygLApOpF3G65UzOY2nk8SnUcQFCLf7i4wwLDvwn2AVWv
o6HqvaUpaAuRLsgEIKe39sbayHhKJE97scAmVrv5N1txoDej/1+SQCYKaaGp3BPKy1tTXN2UViVL
c7scSQZkoPpvUGoL95S1yIn8B5+gngofOiDGu7bpV6MEBpnCIPQz8vgJEoLxqTYz64SwYXp+fDz2
9gwUnMq7QK2AN71dmBBemtgzVWKhGviJiYa1rG3qaFVSIKwdiPL7Y4N7m0Zlk6oBcC0Sho2/E3Y3
+laWT7CX2dpzUpoQQtciXbmkY3zwSO09u1DPwXJA4UClJreLI5n3msXGViNs8ako3FGLSAeFd7Bf
O3ZUx5XRMUYY6Ult3iXPHJa6gqw2cmYrfXaqpTuXcVf98fjL7VoBEwAMhzzrrtPKRE8lEB6mFlkN
Q3MRTWo+J5k5B9f/Pzubs04FB2QiT2AENEuGiy9boFtpdtC/u5eLAAEADdqPM05Dd5tvOHaQCQMh
2Kg1rXR5cctGGmHTlrgl0ZXF7/qYNX/OS9NPT1ZTGiQjU8q0vQ2q5E90rUzrrC/O8GzoiZZGFT3n
Kayz0sO9md74va8NQwt1K80+j1ldmlHc1hQXegNC0w+iL2rlBhdLhCKurfU0MUdbUGbI7Wd/IJU4
902xfumXsj8iid65cGrcD5YYEhKqZpsSz+zOQMdspHwT34c2oMqWz5bbiCe7yWto+pej+aa9U0M4
yLn5ASffdhKKuLaDFj6ICHLcvArnWe9Db2zbo/R4JyCkNMdkLaE0BbFt5cEcuioXrU63p+8ZRDNB
/ROt6VHTVsZ17Ws4/EiLDo7qjjNRUxU0oClAkt9tXoCVzuJqjXxMHU6PpzmXxacBeyHzAfbbQ3jK
4YFq/MCIQBR660umkqoKKtgjx7VwKIBVxTeLvvBBLLO3W6oFoHg51TSfOj0/RbitZgpTS2qadp2u
/Q6ydM7Dmep49PiK7xUaVdhC617xefOI3tpxgrGwB9MfYaDOJj1yfZn8IkpUzU91nbl/d8PMLEzX
D8n8fu7r8TPi7ctfuetqxtk2CnROHv+evX0kfKOsg9oRcwibSwFisc2BjeJyLGpXa2KYTyBi/6c2
xiNw9J4l+OAAb6nZCmbkbhfezbrU4xWFdJ+K2B/CoNsFxWwhwxih0YNge+9KqL0kh6A0xnTxra1C
JkU5WNoQGYPmGe/NxPMAM4pca0421LbFpyDX/DKE/E/+9fh77jkZSqh4GToqPBabwHQZyn4wULmN
UkdHamQZSyR30Of5aASJe2IyffkPG0hDlCFbj+Yo4/K3S00dzbc1TRBGlGYRap7mQa0Ms3/rmu3B
2d1dGwGmGuCnGrclXSjRvLaL2RmjZrTHZ2Sc3FPspOIq3HZ6dhQH8uNvuXtiAPLCBAdygFbH7dJ6
qsJEtvgYexDxa9poFhI6gfFipcZRk2NvaTSYlTg6RSTgNLemBFxFo4A5gBHiwblOYslPaetlF2+I
x9807B/ELT/u1QahwEQvtQJVMiCiVD/oJ3dD9DfDcsoUREWT51SJyQ/CUcrXVtZrEs7VIL/Wq738
bWkdDyuN2/STaxX10UXZ+8Q//4zNpaQ+N9gJdfhI8FlgxmdwE75gBzaUNPkPLwbuDqTLD9qELQYk
TS2BLA4zNBC2TafMrg1QnPlw6Xppnx8fnD1fDhWwun9K+Gv70hv6nMORRgacLlpxKkxzfkfpVf/9
sZUfHmu7h4gAUxWhoKIQUZs99O1+kJqcmIJtPPecz8ZysTK/i0D9M2rs+vM7x8qbd2kNPq+ppP1s
Fcl4ZdC0r0LKX3K89MXkMdNA0eUK9rv5UseO8zySPx/E4z/Q73e/1VH08rB/ctA377UJi2IN3djE
aFk//lsknrgOa23o9HtGm4HaAc3kqvAGcTXNov8CPj/4PbWt4oI2b/5n1lpGhT6lP7RR3871wX7t
nUKamKSTBttFUnn7IesW3iCDGjjQ1N7LTt0c+09gNp3vA+O2B05lp2aBAUBIdBSgf9jSqTfUNIck
Xrh4nkWCLKvkXKBVclozoDkQJv0zMp/91MrsyHvuLJJxJ2DFEBQwGHd34/tmXQngKOiKPmnOYye5
6E5OUBcZlvSLAw+zs06Yoxn3xsPQtt3Ootrwvc7CZxYpj307dCfI1Wt79sK5a+v3wH7NS1bof5hy
Hg7Si911Koo36vC89lusjjc0zI+WjCdRppxBmjjVuYPa8qoL/4iCYc+LUoVXGGqSMwjO1W/5yYvW
TC4tltFx0Wsre+qWyQxrr53CIEfqWBt972TEw/xrouFitDlDesBa3izrhGVamEz9Qv5GArH15DEI
qHSk9YUYXfu6+mP3zqRzHdbTYbtvf72kbCA2lCzFVofX8/MOVD5lWLEa2kenTpxPzID5L8GMeoqe
9kW4rosXVVDJh561eGc/j4+ejJ3Yiqjqf3/DFvHqM8BBOgKdfGsO/e9SpyntojnyGb6D+mWWWfDr
kFfF23MAYlOa09wb8pztrR3iINWqCviIGMQcwrhhvsaErQdWdqIANdpAy4pigtJwuT1OCSStAIix
YqDq8CVJ8yY/dfbofVjnRT/HKZWaA2+081Ix+6vaqtS2VL//1qKuZ8MUDzof006XNayCXm9CMw3s
fx+/VXuX8mc7m/iGkcEUQWVqkXRA2sssq/jctSBv5mruDljAdpdkgvJBzITkcBuQlkayJrozcR9g
RYxyJBROzFwfVSD3TiH8q7DLcBQRGdkUmFwL9so2Z6smmzA/MWMV+9ryPC19F6X42qdqcY+GsXa/
Ikw+iuOM/27bPL7bwNY5/ajoNvWLvkBoPTpIkSGikB64792jqAoH4J4hr9zm18YKbGIc6Vu5DVzo
NWrKRrj6+DcG7sooqYfh8384IYqiyGIeBcD/5iTOPjzSiSRmsjqrgllW2Ke8kuMnC/nM5/9iiviM
hAUI8nYky1hWX1tUT84YkL9Ll6WJOj/3z15jHQ1u7+0YAlYwrfMvpWr1Sv70QNg9TPKGppxV13S/
Td2afEfSw3k310b85fGq9s69iuTVjDgEJdsHlzx+9KZZtZP03P/CCHX5mwZ3wcG52F0QZTCyWsjh
yNtvFzTqGqMmIy8eVTztgrpHF85F3z7NtR4f+Ka9I8h0CShmuB7gb9yciASVEmn4PORtOSUXuNa1
p7LPiy+rNfUXaLriA8exd6WBCbAoxWHDZ7xdWs8oeoJaAQmCLbuonfTgY5pIGfpUPc5ZaqVo9a7x
X493be97sl9UQ0EhEbFs4mI319pWopESJVXhf2HMf0YgfGpf4xlG9cem9iKyn0xtsxJy56IrWkot
up9W8pKlmfahbDytDd05DU7e6FTvpVcDj8TdBdFj43ubybsJlSmxAyXzzblZ2zyzWw2cttIOek+2
+bF0ej3SzWV9n5npkQ773mUA1MWUgar0gG+/3UsTtURYYWdg4f+Ps+vqjRtn179IgHq5lTQz9rjE
dmLHyQ2RTaFIURKLKEr69efR3pydseFBPmCxWCBZ0xTbW54S+yALxcm894z/97JOMFlDerdxy3BT
nod/I5kQujtvrC1tgusglzC1aS/KOr23L7EfN2k6lCEAJTudS0Og4QTvL+zL1S7A6CzLjguUjEed
hPuojeDq0UCa+uP1evcDAriGTglgTwDNng7ahl3IqUGZENC99iBH2FCAEnKpufbeKLiCse1RkgTq
42xXEAiARCkTaGzMnQSMAP4yy0i63cdzee+MIVyFZgnQ50iVt735n0t4XsHBTSZsfA6Nzq+M93MJ
Us9Cy6xN/5eAaqOpgSmKlyV4A4yF+L6wKQoamcyTPU+GDsya/BLr673ThFgUN2MEGjMCkNMZba7u
vLE+CELeOEJpPd4CgaQ7yK7trrNsoBdO73tVY0QBQMxsYAWMefaOoZ3nA3gBBiVsk4HRZGtxEB5L
b2NvbXaOAMYfrTLZq5V75dimPdzqYnJYw+WSl/x7M0enebP3gEQcWkinMx/d5EKROVejrWR/RbHg
VQeoC9zPYEMRUB5/+/u9Az2zzUkEDsfgA5yON2ew2LAjxuvDcbjK4mbYpbHUX6docRcw1e8dBnRG
N+gEFBTeuqgzsuSFA6+tmXWxp4Vpnx1MVA9/PyGIUCHKgnAgAsmzCQVCNFEwgwolSeiVfcBpvXg5
olev+B+4bKDmgMuGnbOJn5zdIYN2DZB30Pfi6UhKnpChVAGZvojFLRe6J+/ckWghoG8O2A5kPM8L
7qY1KI8Vm5RYk6T7iJu+XIR0e6ikadAZsrxCW/aSTOE7D+pm7Yn0Car9my3B6d6YiGUiD0YH8QWP
fw95Hl0NerJVZHT7Z4n0CqYoeyyIjS7slHcuNLT1gDREdxup/3knXQL+gG4e+IGTx8I9Ove/zKST
K5/TC9HJmy2JYtFGftzYOvFG1TudYTrBNJ2xBkW3RphqMQAKDGi6Pn28Jd+c6W0UvG5YOECT0Aw6
HaVpVY/qvcAok3XHFMia+x5WIXsEh0/N5P21xvk2HAQZwEHHfkH6djocFZHTk0R9bWjy/OD5Vtfe
FHOYswbR3x42NA4RGkCEChcI3oTzMGRBB5MMo6xVMdtjXHRrbRbe3UBt61Jgvv2okwIrhkLsj0Yl
hHk3L5nTWfkj7bKOSgWYg9u8JGRSZjpt90vvFVcECN8S6i3qWqL4Xbpi/mstv2145IQQQQWZDAXG
0+E7yHsNzAD800HwaIdKmXqS3cYtRShW616h8aWXS0HKm3OwDYpm6Ybfx1NwPmfpa9iKdVTVm99R
ZcBI3w8evD0jRuj+4z367lDIuQFoQyEc2+d0fumKJ9ckkayzNVsPhoe4W1IE61Jny4XH9s1dhlkh
eIDWJErlmynP6VCbf1UKcIes/YJuLfuImG9h09u5pDL2HodoTB5By2ieP57hO2cdoKMNL7BlkUDG
ng6r8KtoRwNZz8EAuYJlQnRBh/F/+I7btJDs4PkGXPp0FAdrXqS+2Cf9NPaHKPHCOmd5UI6OFrv/
YUIbRgBXGEqk56a2dMm8IiaYUOhn8inqcEhRTUshN/TxOO9tDdSbgOHEYwfd9PMpjSh1NyKWEPhi
3S5X/M9sCwBTpuJSX+m9kTZyHkT7MCHU8k8/HnSGCw9lkqFOgzW/ygFaKRUv/NuJJ/JvnxhsQvSv
sEbAPWyg0dOhKDaJ5zJURhLJHKycnX/I1xlvqYnF9cff753rHw0REN6xKcCROWdaYguwCSLmfU2H
1KrSLMLndyFivOsWLUxWySyX3/5+SDQHgPjaJIDf9OdhEBcxTBAeqMaxHeijccnNvJYBvLMPfZ5f
apK/d6T/O95ZpDALgsWcYA+a2CCuBjl6FZ/D5Tq3JIJeQ9McpGovKR1tS3T+IqCUgc0f4MV7Y1PS
47lOjK/6OvT6foeauF8JVFRutFg1hE5DeUuhSFFFcxpeOHlvpwse6WYfgvQRLPjsbLoZS3QqNW6w
HlJj14KuUe1GcD4mKsbPfuvUdRbiqHy8pm8Px0ZeRYkBKTJ4dOfid0UI4IqaINCAf0foQ/TecUYe
UYZQiPjrSwy7Ff+gnAGRJQx3ejjsgMgMexmNVjEnL2aal3JOSPe505m8cDj+Fbk/XUUIgYJbgr4d
QBagIp+OxZNUeCtmBkTmOjJYTZicl703tN/E3A9gBMIouFKmo2Nl58DcAW6Ox7YF9SzEW0XZt5S0
EFXIY0BjL1x8b18MJNUIC3FRgPqSnx9cNQ2qa+MUn8GL+GeO4lzlw2rl+eN1fXs9oNMEbASErVEi
gKbU6QeAX+QomhyBDfdDsMWZl5ToHhdfbCtfQzfmF9qH700KAyJPR6UAsOltm/2nWLAuqY4VKpx1
no7xXoMCrj7Bmzy9pG343rQ2Ai24nhAxeVPdRH27X7FxFMjHCsJjYyPaEjhTWvaFoffGepcq+m/1
DcHiQRIPjW5gg7B1z3YtZJ18lNywa3Pe0OuZzsN9PCzDVYrttVvixGvLcA69O7BH4i/ZQsAihJiW
uSO2sN/atDA1aYvhK+/z9MaMNL8ZDU//xN2QPEvVxHDT5fRJyIChfaUugnHe3mb47WGguxVnIfNw
zgDJCFLmKGYaPNyxz0qvaP1HtYbiGMF8877IRv+2T5bodQm84kJy+d5SAbiwodMQ/EHm9XRLLNDf
mvMpQmg9xn/sTIv7YlX9juXxiwb+91JV8b3hADkC/RYdxw3AfDpc1LOC+JqZeoFT0a/eS+YrCxcM
aEFEeWm7+FJx552L819Rswy3JoKY85I+69O4HydPQ6gjnO6bUQclqqfxtczdJdHhdx4GDLVlecgA
kHudHS4/bka/hVlObRI9rftcWbnrfeQIRwpw+FFEJq8NZexCZf+dvQN4DaqYuEVR0zzvwgQOFQd0
a03NBSXPJgZT7wCinplvkmjJJeqnpv3GNB8PgQRCcP/xBbat19kNjggTNeKtAYR34azI2RsicjOE
uvadta/cxhBTz7v5VgeugeKajV6gSdDDIyJ07Gnp20vjvzd78BYAzUOZFb21bb/950YrzEpAvDam
1nRpXyX8NsqsYc21yjxa5YyvXxZp3ZUcsksdh3d21ua6jnQUnx4v81lKAQJhEoyzNbXMvaxWqaMP
oU+bG0AWxOPHH/ndoVCNQRN7q1CeQ3hGMKPRNxkgAdPDwbhbaVxawPeqjgHj/fFQ75xP1Ho2vZl8
K4met0YHG4CjD/WN2vqwozmsnnYjXuQEEM9gXLqdCZtLie7HQwJAdbqEOY/gxgSJTzgnZ+iOpjlh
yAaT1KvY6i23k0nmv+XpQinv/ycJNMLpiCpLF+55RAOsvq41TTW6QuOy3iZtdOlSeHdy29lE1/df
5avToZxnAkbiFkKt7RR9ZYUVt+skPVhTLwwIKVGkDx8v4HsHAsYiKGYjCcVNdDY32aTSXxlETJvQ
spIM/XBdTOw3C5l+AAV6OWYmKe6hgnCJ3fNObIFSBZCkmz8HulNncTE0DoyJmNY1sW0KSmGnK4hr
/X2WCFYaKjAbGmhrpZ9dsovqbJQiza6pL38MvVjvoiAgoGsu4+7jD/nOoYN7H1qlqHBBnuO8AGqM
HFY6IY1KCRwmoc2naufgFQHZ20uon3cuUUQ/mBZ6eaAkn/fs4yUIDVCVXa2jyJpqDri60Rb0PwgD
eeaYQ0nrpZlcf+zjvr3lFgC7j+f6Fvu0tagwPgpcyIhx+E+36ZpnU9Zv2AT88BmWvu7XNKGKp7wh
PugIhZqgSfMdRfxT9mNaHBCtXzIyfOekgE6JlBVBCH6HN7Ji3F/mkcG6Pe6c2Kc8dp+cKgBPnnes
K8TVxzN+Z7f+W7UE2RxHBdjI0wlDDt3MpMWEIV7R3IghbZ4na9iFUd45jBjl36KTnyDRPnsjhA2a
DCEH5gQL4W+T36ZlEXXqrsikvGlhfPCEmEUi6lsv3TvvbSmEdOCb4zKA9NV5WDfnS+O0jyIADZKr
Rsu87jlaSZRxd2WY8dBTC8J6XqNhn+WzePn48763mKAao5m19dNQwDz9vCFvBZExagI8iFZcOdmr
Qlixh5LtH99rwgu52ntHFe0e3HcAKyKMPVtMIHnipme4FFZsm7kcTG+OYd+y+xVV/wtH5e2SouuO
UdBxCRF3nZNjh7zQfFKQYyscWR6bNCFVByuNEqi95ADpdllTRsCAIvhFPv6mwdtpbhkV0voYYkHA
nZ6tqSLU2IZKU2cJhdFf2yRsF1pP46KFD7go/SWMr7LVJbvMm3K187OlPZipJ+2+HZq49Eeleeml
XQSFQA+cnyl2448Lv+T2rU8DQuB+UaCAEToqhgiPTlc+TykfmIOQqJ7pchOu20tk26G049xDACsf
b9f0CS39uqCxa0p/TpMrFum/hrAhwQCOBxJHGwcdrZDTXwPSEqmk1EL+aojS69GbvlEDK69lisU+
gAzqjpP1Uq307aYHVXtji2z6VCDibH/+n1iUruHAKDFgOcGRhu+8dZ6CUkBH0z8AvQ5FyGLUCz98
/MHfbgrEvjHadID1oGt2nr8BVJZFwiLVtnAgqdB8pNU8peST4SK5UD34F7FwurYZktMY1yUeYHRC
ztbWLjgSRQcpKuKNMZyMFOnW0pCoCMtANu44MqiSH+APqYYycsDCVFOfzv+s2puiXRFxiLv4a5Lf
5VbrrvIyO31zoYYzhZcv+QvUcOWyh/kwHUvT++bTMAl4+n38ud6uEdYmwQeDkMTW2TyLUoDsHYjg
2JSWC7+KXZpVQEV5f+jQCNAlp+7Lx+O9szzIThBCoMiFust5dgbnZPz4rNV1xmOaQg9TFo8rJA+/
6MThs10Y7O3lBNAackH0cHDx4j9Od6BsOU8WncHlXPiDumvDiCTfXOvgXw8JjS6/B+olcaUHP96x
9oQH58mks5zsM/TN+V64Tah60UJ+DdE/NOUwpGFT5v7Q3NGOoUJup4agXOKt95HtJtgvFLJ4VhIs
7hJ1NJgwEJdnD3ztmy+rXWVY+hkE6PeEJ82njOT21uWeT+thQDxUKtGgjdyKCHKJQBCaYQeUUQL3
YgJsX+U8myRwL4ft39UE5tdSzdItbL82PYfdIwi09Ni1wkZlO0C8vCrE7IMTBj244gb+LpTDLJvx
aT96Krc3EyK85lUD7wnngnCkIbQHC2jfRtQnD9HcBvIKKmXwxOgDoTMUxdL8+yohgvTX+RVAECi1
AG2NahX6D6crBIBp2IQp6tY0Y0VJ4cteJRPtIJ9cFDuxNNnuwpbAzzs9smAgQUn4X0DERlk4HQ+G
KWlgAO8GYFg0ryZWcjdCeOmhd1CW/3iot0cLuSlyVOgoIQFARnw6FHwAqALJU9WhU92B5EFzky3w
40TuuNyAdnIpAf+3x3U6NzTysKtw8W0vzXltJxqXCNgnIHgXksDNdAn1+jXkltlDi//hto8i8o+B
Ei+tEcES+iCWIe6qAYWZtcpSUpDnIZ/dM55qNpQtur/kJtY6+DVIpVWJx0V9tWPMH9g8oI7SMLrm
95B8RqKvJuquO49DPg7ZVjhXuk2VX44hKxqo2hXJS2Yi+prAZ/uLCnRPyiTtErnrqJhpuVqevOim
s0MFUIz82Ueu++zz3vs2TkDIQVPC5S8N6o9dqRk11+jcirVmvdWPlHv+b2DNIeMtC8LXMlt6BOzb
anwNbWxfIPyWHoVpw9/LBMuSOo1X9g/iOy13wQyPl1IKWPd+Wpu8Q3eEq+yxmYR5gUXRijq6R0xX
SQNq+U3XBvnzCoIdve9N4ydlh30qP6+2cc1DRqJ4hMCB4auoQ+r3yQPpoCNeFQi7cPCgF3AUeTG/
RGOTjJUXqenV0x0zYGZptuwHHAFocEI+CLoMsKpsawswWYeqBmkfRbvZTscBsfcOOk1+aXuo15XB
hBrpfkBt4ov1ONLXHr4hY5WSeOGlBe3nZrXF4B7svHo7StEFu7C/z6/yTTgdkSy65Di7IGmc7W+H
YwY0MEBfc6rlMRgLcQtmCM8qveAPLgy23QP/3dvbYBmeWgQvoL4AGnl6mMYRfInFJgEMUH1RzcJm
+5zYSyCfN9C3rbOx+fbhZdoKeEl0Ogza77ECm8+vAt433q7P6XyDShPZJRT3bqnDYv5MaGJv0kkZ
iOeKPHalyH2PV0EfqEvIVni7biOeThxhG5xS8DU3jfBzbCYUBEM2Lxn8J3qEdV8yK7wJeLGk0NAp
T1ny1VF43MYm3qiAgYKMAnVJv15BSYVD4rRX8wgoQejB712OWr7MsH6PgJdyDUAUtHdNHRa6zUoj
reZXBLYNqGzJ0Q8rAEpG8igT3ka7wYRdU5KZkWDXdilcNwwIF7ugIfZBT4bib4tmu3IKYcrc5QPd
A6i4ThXsJJe+tMmU/XE+U/2hiCYmdtwrgkfcFFm/E+NcfNKhmb93hMZrqRhJ2EENdHxNmJQPuVXF
jyn2cMQbYvDRHU3NXDXpEP9QcgKokylj74kAo76kJgrsFz216xcSSu9bO9D0PoOomA9WmqauChIK
0VLVyfbWKwrI0LWihz94rMLhhjfNPN3Gvs1fB63iBY40urs2zWpo1a6N8ve+zudvaPyN14ueOQAh
LQm+2Dgfk9KzA6QeWzp8QhNp4PVMV9jDqTxvSWltPkQVDTN+Byo4dheaacsXkOGzI6wDEN5BXxo9
lG4gNi9hmgRHhxGEFntAagUFzlYs6w0VXQ/IOAxRqgyaO99xHvAbhgADHK1vEwo+bQfbISm8we0V
jRcQ0/KZf07BjwnqqU0UcrIGto2lznQrazJ1zQPtEbU82Vzp7w33oQZN4Uj4jA5fn5czCd23HlKT
HuCQc//L982aXg2QLl6r1uvy15lR7SHiMbStAH9IXlGsXT5PYszvmxw+sNXijcXPFb/851lLGDhA
gyP9Ng4B7yrfi4tnf15JszNpQ2S99GuQATZEQsj0skjCz8BRMlZLRugnG/RNWM0jWEQlnIspByYn
mlnZpUthXoYuN78mT/jLDoh4eQ98GZoOEQuS225VYVsXVnVRqRXIvwAmer5XF2bge9150IvS0IKI
9ugtZr/6USy/kcRn+NEqtNF4LfIE5OxVBPYPkope75p8Xp8TsFaW5yyisDCFGbtnKtZr5926RSeq
ypqc83piWfoI/Rb22YINmdwkLb5eifx5o81pwyBD2qesO+Ac0ScdTTn8xHq9jhxv4jjdQpu5K44J
jQdXTWxO593GtWtKN3LR73qV4jdv+mWKrnsz96+wwzVzqbLMOzR8hIMAdGqaf9jck/vB5UrA+kj6
rwlgrVnZRRF9tA5uyyA7hHGNA4G00HOJeYi9RIRV2izR70mLbCxjC6ZOOUOt5T5sco0t2k7iMwUV
OTxAaErctBPJk9ssIABG0iWW/jWcMuKk4rxlCS9pn/VhlcBi9jYqFMyXvDnEeZ1b/tSTrbw2t+v8
hcBBjQDUS1NZdqR1U1XMwF3NUSgV4pAghkHOAE7ZfYqEiF6RiclPYOWnP2TvMl2OK+xcqs2tSu+h
ZWOnMtLYVMeYR+0D9WKKsDyyMvtqWhoeOseQRCW0i6qGpdR+siQU7DGEwa+qDNeDgDQtWrglUqMg
r71xmp+yKNR5DQWafISkq5w/Z2g89NUYNQSgHJqLoUxhaj6VwcyZ2Hu6b0Boykmz3pjYaXHs1pj/
9AjS1mvB6bDsYPjT+HuVQ7+0ApA5K2qCT7aW+TxTuEUtnnuC/+nG3I1Zew9tciBJQmjaqCMop6lk
B07k0JQDXYvubqIp/YNORZbtAORfor0XWwgLZGLxf8wOXd0SiiYuqXXQRr+QcSMWGhYeHVaLsmO1
CRk+QJGkI5WSZAQmJ3MZIN4hF6g0xsnoHz1vKCiO4hq5iq+g6dyF2HYSf5oXT7IJs09TFsTfKSsc
u1qldOkD6MBW7NVQNN2+F8p/XNpkXTbtyv5T5hqsCdyBGtikMLFiW4dCXvMw6X74m7xMBYdS+xhP
Xd4c4Gbbz8dlmntbekMXvKydHnE1h3NznCDxmaBfEQ6vqNnFE8SlevfSLhA3L92ajSNM4GAU7XSE
4zKAg6L2Xdzmj5MOYN8yB2OW1AASr/lOWABzSsGSGYObPv+jZ5toYA9U/4Jj6U8lfF88ce1C4v/k
8arkcbVd8AhXjcjuuBnSYwuFPXmQQpgcH2nQTyRNET36OkzXR6c5vfEQoiKyIFgWaqClfZ1RKb54
zPMNHkTT/WDzNISlVNL/B/xaFpaELOOdJtjmtZuh73WEqJUZgPyPE7ZPmqK4SudpBWEJbrW6NMKH
WU7jxqmoJIA/te3BH6mBi9PxTdHoEZLyXM4KCC/VbuWxYvmupg0PXgTj+BX4gPGTaIIFb6XW0Hds
LfHlcQgkXkw4jbFviDJjGM8HxTBU2QSw8tGxqWFVDD9wiegg8I4IUxPQqLDrV3GABd/QgrDLbAx9
wGWAwnzCZQwL6DF60VrhLmSrZb+A26Vh6alY0Gtl2RKWQzSJ/oEoAz7gsE6huuM55E2eV4Te7HZA
R6Up0V1ZCxhf9nwDvzTBp3YNuqJMo47Y3YJjPVV0CkSEzGDMweMV66LLdFrQ/LEuHHaAoq0G1Q5j
lisS86WpRTZ0L77gnJStGuQn47XZDxt3+Gs8pQn0gGa9fJIc7IiKUtxUe8kKXpTAEfCvzOPyER3l
eNxNbZDNe+ipuhCWNe3IKzxOBKL3mQRZZEhdyCuk4novJF1QhKBh45dTPmN3aJO4OxmodQKKZw7c
bRDMyBQ3+klcJVKRJ5h2o2weUEmePC+wfUWBqPkxU15E9aR8Ah146WOZFl/r+0ANfnZwTDN9lAnI
E18ZY4jkMm6Tr4b73ljB2zJ7zVdUP+owEdCOykJLoNPGBL2D1jvJSxSRrbtLmthm5YqfCojggPpF
MYaeKOchjFD4oMyLl9oOucOzIn2O5B3unXhHNWZe0S6cP2V24bD9In76gMQqvzahdV7VY7RfcC+l
kD2mUOgwkYjEPuYhTqJisIA+tNSGbO+jcl6URGryExACkH0RwvnN56yVJtrJNJJfeZCJruTxFNwW
6bRiWbogemlQYIC8mdd6V5Ak8vLahlMcHXCXq9tsE0ko1RL4v1EwSOBPOVuEAi4ntZoFwiY/Ig25
mnPH/IqrpNGVTFzCa2hXBL/AUPC21aABtm4QtXVLotzuoenSP0VDQuEhuoSLLKOCqbUMwVj/DkYs
3o3WxEBHBwLuB3gl+qGpBspzdxPhguI3+cTnAWfZAGsCCb3suHZAYpeLU5rscSS1qrp0XO/i3oSk
zi0VS8kAksO7msUahQ0AzFwlJiubgwVN2YKHodAr5yaBjzC1+XTFQi/I9sHQh1+THmXgAwR/cAjU
7PuPSI9Yu8uCPi9umxaejKVPhLsTUdK21yLAY1XKiEF9lqBr8tk3Ohh3jV39H/Bc0/6e0FDrAxdO
fc38Ga0k5BD0IXFIpCrVQAiuTAonYaxqFrQMRh9GSzTt8yMi6whkdJRKuwMKV15aK3RMfYi1Rzi7
fYP3Zo9+jdeU6SbWBoMfeGYjmRtSeCuq0JQxcg5Uq+CHoBHkgYRSwVrDfCFFgu9jIDH0aigUfrA5
myWvfNvkCCj75HtrwlFVAi5BuIywrfGUo3xyq2cF7TTjG4C0QjSrPFQpMrWUbTiau34W7VSqLluB
0UuNkFWusW+rdBVJtI8pKgglSQogxrH2IG5hZDqV0kn7j+Es7XH1dMULT20eIILUMWElfHNSfiCp
A+APnR2ZIwyDH2fZAtb8jMA5RqAWp1NeKkejn7KHflgZwj/K7HNPSf4l7+cCHQ0oomVlkkzzBAaf
RGm/KzKxs1nUmt0AbGFSAoguZdWBxoPrrChgP6JXrzMHwVh8XKOZYxrQmwoOXdJ2cRUNHLZFa9S3
awVm4hxUUW+nh2RtHFTmgLf4rShNBTIClt3qQcE5JezzPsMTCEmqB4Jr/JtNRrwgHPtyLds1XW9x
MyCsjgaN0AQOv+Hvvm3Io+569WrWzutuo3ZaPKjLJfPONRGkazbGCql4kbXP/rQsqpqIC1N0lfLi
htMlecSKBFGlkQbswbkIsx3rp/mF8gU4lxaItaCKJxLxak5odhNCcCXF4fLlXeIWPO6a5T0Dlw2d
0Zq4NBYItqRXc+3ZpSqMTv+kyZoUN4kcm5cGxiNYfTvNr9aiO1W3o6d/DXGBslYwxdl1MMRTWOUm
ih7mKFh6VPyUuJ1b3wDM2TbySzxQhJkT5VhmN8I8qUoVPOhLHYXdWPWzJDehghBd5UAwjWo2N52o
JqqazxN0hBXwrhqQF1Yw29zIxjoC35rUDSXqmuNnPczJuptMEw9HaMsnv5uMxW3NRol0PA0cza4W
EMGG2rB0dKVuC+957UM9VAkKhsMh7KTdp6Ht8jLpU9Bo8TdQFet8ZAJm6gZbrtk0cxy7QrIa2zP+
B08f+dF4HOJRepYW9uG4zzuYvZPxV6JGG95l3SrMLirG9PeMLgmcQ1cpkEkjMC1NyxmvXcFRcWvh
DCTxbHf4K2sEW7JfgbeGP62i2MY+55swATgABh0StvxeCGuOlI+phDwJZGCqCTWxr9qLAa+EG3yH
g+b3Hi5GY+NniETmf7JgSeBrEYx5U/NpNtmt6+Lxsbdp8w1ibamo2eSbtkTh1qzHFV57v+EFMF7n
iLgKOI/64mfgt77D+8tQU7A6t59D6Ri9Gn2Q7a5yEjkcQH/u/3QudHzXIjBrUQjto9e5F9MPm/HB
q2Bx4ksUYboCRRjh9Hy1cd1kmcg1VmUyxZOqbG6zR08n6JJAMToGEJZAzA4vNxluBeIqXC6DDg9g
scCNtVc0ykpoELE/ApYCTQmWAHS5e6DPf40wNvrHctO0SKPaXtQATdkW6QzHW4TtD/+52W0ZTzM3
k6oRlQmOuqJV9y4jMVYDRnioCWVTiHYCPrnb+2pKXn05oUmQFnway4gN2VBy3DP9Ts9+8kelKfKJ
iW0tT2guIO/mDLBm7C/83l1v3AuIJ5RVFAHUZ2+W3ojAYPauFBo0eQnOm8bjPFl0Z1uIVpQRcfC0
NQjxX1SnIli3z5P95fVU3QvF6M+uHcjXeWHsu0W0jFo1VKCfVQC55or0dH1e4GGO+cUemKwizpcy
gm4IrUIBbGCG3IyVAaPhnV6Q44BsCtrmbpkDepjgufykl2F8WnKGcouRhrdIphWeRY0CtK29Bi9E
BWVv+SXPYLFaxnSYH3Ffo4bAZ8/9kF48/FHSDRJ0JZbpalrjti9XSPc9QtAr+kwsaa+RDdg/yTpG
Tw1O0O9ZDgDuCZROBqT8Pkq3RROloAcpP3UlgYZuXvrIQeFrHy/5s0JmOJUNyg0/gsAMTQ1US8Z3
SqYIv6F3bNBZSVb9gDrOIhBbj3yq0JTp9WOCFJQdo2IFN4CHXfRNN2n/YMNw+lG0sp1u1SJyh9ak
y5LSVymVt0w3eb9D+g097LlwQ82MKobrFq2DXwyl/psCXpD9EaKS2SO0yjaBObQdZQXpr9zsEL90
9+ssp0fSTvwfsMzdDbTvSFPFYxM9s7EtlrLvexSQLVq5d5lZBwr3phTSwQBwtaY0tk++dt1sCW7Q
FFeOW9Lp01IIVP+D2Ov1Fa5iuR/jrvHKNCS4zGe8Z2iR+YPnVx3u7Mc1wLMNZvOI2iSQcQk0nfxg
QKGU0/4pSLVdjqhuxJ9XRMvo+k1InHdzAGelkqIEv6LiKObrqUPNtBLMN9g+2kMZv+tggVdyvfRB
1eReIXbLGM1dpa2A7lkIkN0noSMoftGiaPP7GC3EPwKOuM+DQsKLs7hF0s3S5teUdI4jZPOVe8Rp
QHEIdjn23lDea2hRp66rRAGd3KptdfScxAO6FyO8Irb+i9cHt6qJxmODQgYpnQZd97BouqodYX0m
kFIHM5qebpU/3TKzZ4ByB1VDj4/ymjQJnASMtjECA/TR/xDn5ttFTesv0eJOvfOHwOGEgvs9HhAK
T8dkHUJztSjhXaWLTy0aQ6kl+84VRX8wiF9+FPOMXDaSa7iX5P84O6/luLU0S79KxblHDbyZ6OoL
IJGGSW9EijcIiaLgNvyGffr5oK6ZPkwxyFHXxYlS0IBAbmzz/2t9y2iKTWE22Q05ssqV6dTmXUcv
NfX7xnZucCwXX5t0VNKwzB2r9jtF51dOM7nkgW0NJUfD0YwoBUwzS0fLudEKDCbyfJPIaNUad3JN
lSxn+cymNntMepeF0YmUOub9d+ljIf3t99RGlh6Pq8ELkucZpy1nVmswjGoJICNv2Ch4VvoSGYPV
+XJAoAVXbIoFHRm9K3w869XkI6XXH9ie2LemmJwu6IU7ncVVrXl+7VjKQQyzNI+j3YyHoS/6dC9m
PXkoFgpJ5wmcx2Ybg+hN2esPHFFMo7a+LhxcktCi0M3ykFGw2kvHjbxgpvX/AA7Iyra4zypr04u5
SbY0ceMbFFOCXBWN4lRdad4O7Xz/1Wom56KdlJwmW66rB8T9WUWHqeVFyAsvP9foZ0lfH/L0WtE1
1va2H7osLGUZfYvR/9V+M7RMjCQ54wlzxWIWvsp26i6aB41tpChzGdpD1D0uokQD29bMGj7IxfYB
46LykjEAXiTKhiSgZxE9mbmeXXWSHUSwjI1Bfxyoy65fWmp8SVqXfTjYcUfq4VCIM1H2SrzV1E45
c5n47BBCilluusGJyn3eiaUIbMITCr9ObRaerrO0c9OUvRNCJ2DvxSkYC7PupMnWa/W4CpK20Q4L
hXr6C1XT7zI6Y5bfJxNbV7sYRpcieyNL6me2yULNbMtuI0bd5zH9zDSLvezCaSuP7ZG16D8KNBnf
KxPwa5BrQmNPICFaeHHKpN1Djg9ov3WO71VRezUWS6pteDMKB4rHTNSf6fWzubM1ocYcIpLlURrW
qAb5bFfGRirUfNhNaH0WONVkPlYCTfcxIX5J91uEJhezMnta0HiFdjUs6zGTycdKjmhNq/uIaJBV
VKJrtxYb6c6npUZbtxD52bBuegKgY8qd0wASAZSV6VeC0055E+nF8qNA9OAeKrPsH9w0ja/txt2m
ca12+0nRkpZqe6tTFzDn3ERu4HkX0pvHJ1oWbr3HI1UcORA1PxQRMzO0k85P5IWiXy/j0nnsLQeJ
VpTjwFXNUkRSlbtQu43YRFDUcUzBkTM3knA9cA+buM7dDRNr7FG8GftmXyH2onpUC+AXM5nw4rwV
RsJkaY7Z5WxG09eGZfvW4MNJ0XJJ/WflJux6V1reuTS8atpxj9WVmWU129hsiqiUG3xNTQnP8kER
I/9ahCc4jjoMc5+oCxNfbDGgCeSDvTHGiNo+pX3r2Z4cdhB6G6UvaCPAPUnIn5nvgOjwLmjwUvRz
S5MCFfk2lrqZGaEW07dQMDShM2mvkjIuVL+yYYaR/G7LOKzKRt6bHplhx57GRhfOAvscx2Ebd25t
LzWJISRjf0NNktfbWeGMHapjxmKjt0m87DyK7g/Yo421bGxxcpkHWk77mapV78sux0uWtFqMxih2
CtPPM9elBqSwdrA82HEZmksJVJBNnya26ZIjhQxVt/fUxjeacba2gyEL5bKg9kywbZ0LWb/WSdsm
l1PsjmQXdGnOhoccS2NmFk31XA+FmBQEKEOMpLO97FPa03Ngd0bTPzR90yw7NjB1rPhZZKBt8ibE
m4Dp9ES50+VkutDo9RyJlB8XNvNg6DRamd0asd0Mka+CFxUgROfGuDcJ3y0vm1KZVAoxLDrmvlNt
bFXEaurssktVUR7VpBiLQzaNjbP+XJFWxwReRX9na8PCVktxF7d6JWBUZ2tD249ryNrDyeD3lWKN
HPOXUdX21pTr40VjUkSnY1AP5U9A1sNSBbSTOYht29qOo5+RtzjkR5tZJ45dSTzuY07yivzhaqyd
l6pbRXYwAZ6fvtBuadX7YrDZCwWRZxfa10qpLdXeCkGPcB9pw0BTuTMWd/mhTNUq6GE7l3wrkc7m
Oy7T0k2M1zjumSWRcIInw1RUXm7NiXXqZTlIYQD5bmt2oJ4qBApUYOioQHnIeTqYJ7resfaDtfTK
XWHpFTuNfqwtmiXR0M5InKXa8EpZ6C7c73Zj2M733nZzR+5S+qRx4puTndUdFajULJ5ql1Xmh8fR
NQondzLS45SmQl5ZcwMcO8D3BvI7cabIOU4tlo1dagxDca5yQjd3LgkbYygonS83ds3fX/mqS6sA
hD8Jfj/iNJ7EvZ2oyvQczRPLBr2S2du3jG9uzdZyb0dZvB8OmhxYMhNVp5VCeW1sz2alB+psd04+
7LtiJEtEliIdWSr7LrtEEJU022p0+uqsXdQlCwerMPJnyB5Rwzm3c9uQqqep7lukJouflfOibQxl
Lhx6GRRbgtkyS/cp5425hQmYTefdbHGaWVTW11BOEiwCvOf5ax9PyWs7LVp7sJkE8s1k5tFXJW4r
1Y+VYXyAshnr20n18tu0Kozexz0vCFli+TNDKGZ59Rx3eeRw1jK8aR/XfFPAujFHh5jX5UdvNZm1
UdE6zzuEmdoDBiRqTBY1e8/vPepwPqYa5ZpOaiw2uZstz3PjVLf4obX72Y1VhwNTl4Zdk6QlTQT2
iH7SYLf1aaEkFyVn72sXegdCZrMrLD+yo+RZdnGnBYPVysEv6np+KvRlHtnIDqq60Xq9eZmBkj+N
fT6dKWz2BbKYyj70HcB7Dml2qBi8F4Rc5gcjyxo0A3I5pw00iLCKB/NY8faM/qL3tG/qOSKg10zH
/Fw4hGSOHBs4Rhp1XfhDotdkBNAYpzNPEeh7sWjTfV3VDuVTRwzlphHI2zdLQuf3NmNGvFeVtqMm
DcOUcAjLSWb6GgYiBKHZiD4Snu592liIpvNqaJ/QHbm3UV5o+TYuI8e5rUj+fmwItESwY07WD68a
8plijNXNm2i2ijKwxikP29ibVrZD7kBqBhomgnEiBfe8k9oIrkM0xWFQx2Q/ImauLiysTClHaovl
22tLahng5OjXAJuk9jPqanKOad0SQd1HWUztuSO/l4W/pPHZRI7pN5bTPjcxa1M4zQV6joyjO6tx
7pF82y/RvKesFZubzu2K5IiaSilINkwLEabR0j8syAS6kGPk/L2wteQFkL3r+mNiTccC8NOwnZsm
fW7liFzZTZLsWtZmSutSdyt0i/Mi6bJIvT1yXuL4Cobfu1jtDXGgFXYiA5Q+9GFortLtlUNJ8kFd
kLvqEzjasVgNwlT8JlrkXZJwMvbJ4gKe77DTaTfmNE/XMjOGmkcyWaqfMAMtftw6ghlP8xBcxUPH
dO55oNV3GiXNRxr7KB+GHCh1wLCkcJ0taX2MJ7ZY4YB1Z2ByW0MJrSVtvuaNYd6r3hQJn2mfcaN3
s9TPlbptU1+lE/QUx50tOON1SLqrrs3cLZORm2wJU022vVorfeDQvNK2QvO6G6uLl1X7Z+kXVdza
16B1wLwWFZO4ryy5O4dJOs/XKdLcOyNtmuLYenaVhJE5ZHHQIDqQYWRFsUuvh03G1m3piq8lBMr6
g9XHNbVMzWq2ml5kxbavTY/6DwdAirByGoJ+1vrnkrXXDIQGB+cRi0W5bBoV7Rt1t8SJQzXxUijp
jtEd6aTM1ZOWLW4aLqbifnOqzjWCpimnIeTlhp6QFWVBvvvUeeahUSt5MUykXAWQkKiyu0VRnumV
Qgk70TjJbdkg6F8aa2hfmUNpbuWpuhaLqGyrHD8nzQ3ajDDohyxrl32GlEJQg1VozSIPyh/apLXu
tQkw8VFjvbtZCs1mP/CxSPM3XRlqcbBKLtQjlT3dKfSoFHLu2VRRh62zdltMiXUYsk+vcmqFBfIL
7ggCOGQ6D+bRiRKeQ0pjF0vpBnVNDdoRfPpWpaF9ytF0TLMRByk08k9u7Td93nrRX3JQHJlUFNev
/01+38caK1EEltokZfgIJ7m6q4gY2BW08P/8UqQmI9aFHsWqcmrYgsCjiTmvnaDW0BUYbip3sZ33
u0Rryk9YJaeq2pWXvKa0/wqFgER3otBLxrrktRvcIMrq0s8j0hJyp0h3c5bZft0vn5kY3hkgq2CY
TGrwZigDTz66fK6XCAmJh35g1g9iGaaDy0T6yQN8765QNONp1cGf/jZAMLMXTj5lXoCEj8DZEQW4
EWn5RgwWbd+stT6RU74zNjRy3HU28rgl6NS/HRs6CvGuw+EfeHbzPTXVfBOPaMzTvvoMD/Le8wON
CK2KiZ3ReKISxSLX1I2SegEVkPYOQYBzIdj2fvL8fjPsrcPCw6fHiLDhK5z6dGurtTgd8jEpkiJ+
ldf6BaoNbdO6inE1NO4QZCKJbht70r7QWexDHY3M3R/PJXh80HybrJk4atZH8bcXjqOdg02Dh9q1
SOeD1EOqgkrLMP40q0TD3LUOSZfKHenPxsmF9CzByU3gKS5dZzB9IgbQk41qrT8uY/0ZtvP3oWIA
gaSnhfSWedI7eeGUROtonXCEV5J8+k7/hObmDBPhCaNd+lnG9KlhY72z1atrGyt2njt8+wizrNMi
2hwUvBzNvaid8ltDl3rLruaF6lcR4K8wN3k8jJ9YeX6foLnuSujg/VslzSfXtSe3VdjQ8z5Yg7Wt
iesKmt50toVX1xsltudA1Qpt+/F4efdmSSxmzCA2xoDz9mYRk0xmk9NXkhQz8LIjdUfjN28nAgd9
aeZNqGsNSlLg/n/8+nO7a5DI6q91cAC9vXJpNgQEFZMXRMZSfBFKUd7OhqCUOk5jcfXxXf4+AWDh
hXi8rn+sR6fgmNTosnpoPK5Vxu5OHedmpy30ET6+ynuj1OJEi7WI9187pQ9wLI8oozpMoJPV4hiu
6Fv1ZXGc0cd/sgK9N1YsHecXZlJn7QW9fXhL7nWNA4Ep8FBrXU5yji5NtD9fNXgMariUZjT6bAIy
K/z4Ft97kPDvSEEjUREb7foI/ja9KJlK/bPnZLuMevEs9NgqNsKTxrj5+DqnVtn1HcRY6WDotGCP
GSdrQ6doZB/MtoeVAKsgCFjeuExqGzoS2CcRMBA+01s/WkSQl6Ph/mlU5Xp5pnHLoXMJF/U0+r0f
dNqzNJeDCEh2YAJr9zPdIXBuzGAbqvIzAt97Iwdm48piNajbn/I1EyAc2YyNNXB7ddiSAXMTERq0
IR/N/WSR+uxKJw8WguiSzg0PNrYrKxSFRuBDlkeboqnNw8ef4buXWjNadbAV4MZOXnDKWVHcRqYX
mEpqfgdUQRK6kdZf6jT5LKP8963LGq3935c6WYzYYNg9jSYvGBIPWLVOnmhM/Swk49tCkEm25Me3
djpr6hYbl5XooP4iPFsn1+NwA8ytz/twVEZth/toQpo1e9t8zQ4wjGnYOjElHGMW3Scz2elD/XVl
wEB4CtdV99S7mOk9nkZd70O3y92fRVV5h5zuL2B8rfrkHXzvUhATVeZmaIOWeTLH2ID3xSzVHtPs
4P5EUm8G2CLu5dAqnx0TTj+/9a6wi6184DWN4fR9E6Jv9TRGxaoY0wUdF+1LW4ytT3PCvhWu+MwV
dzp7crnVnAspBs0iwMuTO9NkT/CJ6w3hpKRoJG13Z/0yTeChoGlaVfwddO8++eROp7T1okwn7MvM
9aDnnWxCU2topFOhzHRpcq6JOfl+AEXy0OIV3rLjsEKKPNVZ0jfut2Sexrs/HrJsafgUOR4Z3PPJ
iz/ENNHauZBhMbdyJ/NtVd0aRdxfF4lrhbRaKyQj1Wc3/c4YwpnvgTbz4B7imnq7Xgw9m3kuIsO8
zejT2LqyBOxQ7Z9xm6Il+PgW3/tYVze+6a4AXAbT24s1PcIQ9mYSo5SRBl5hj5dVm3TXkTYnW9kg
NlPqSv3kY9XeGbtYpsC0gh8k3OOUVC5SJ1bjvJYo0Vv9UqdsS9fFteV3IStv3wzjeO8kS36WyU6/
4YQnHikKG2GDY7ch/4ZWWeQVKZUp7BphVEWGrxEu/tkO+t2/EoXaChBEY3o65CcO6aRKZ4iSVQx6
jXQXn1Fi7VuhdPvWtsTLx5/Fe6PdweqCIR3tgnq6u8PsWRaGPfahgSpaQYOoiCg0UDQhlpnKI1mq
6Qb3UnTMU9HtI5gXw/bjv+AX9eHvrrX1hWNvZJN0DxQZCcXb4dBS5NTXBKMwr+3iSNmt2Drkn++d
OM03dTcvQdVJ66JTlzq0RIWMm084bPo+p5WCwOnjP+e9wUnUjMs+G1iEeYriQcAfR5VOi3kZk+JY
zHK+GVTMFUpifc/r2KHHNDWfjM33rgnygb0vkFhWq5NlahSquihjLEOcQVlgzvqwtqKkc5PN7pD7
NO+oJhSR6Xyycrx7XcICVlIlsoTTRDSNLviSUGYjvNyw6R/IcgXH9uSQ0k1JsM0qarLN8sb85CN/
97rADddZDiP36SdeyWRKe6uUoaoLY+9kuW0jK5bZMcL1vRmqWaMpgpnsk3lnfYynA41XiyUMIDYA
x/Vd+NumeETe2+sGTg+AmcNDmk7dRu9t6+HjAfTOG0WwD7ZxXmB4kaccAbSkwpLe0oV2W2WhB3Xo
gC0AEUUX/8S2PASdPukBWwMDnn9vHD6++juPFremSoCnqaHaO913sE+Y21xLGEois4+ZjWreJZNp
xw61C2Wpww9ous+AOe9MWlyUagq7gtXFfjJ+WckgzXqsWX1PDxlyCqvzTFE9d6I0cKxx+PN3FNSR
vi7SpC6rp2uk263AZduVoSlm5djZXXuToOyttireyDRQhYy3s+fM13/+bDn5s6XjwepEMb8dPxLH
hIWaXoZKv8jdXGnFXlq1GuKyda919OoYBNv55n9wUZPyhg4aZd07v71oXXSpKixWZjtPquNkUvdu
XUt5iet62qmlfkmw7px/8qa8sx1gG8AQ1nmOOgT+txedo8yxhRnJsIqKjiK30d9JMjYF60OLBfXj
O3xnk06wBW5qRi0XOz30DxIFYT+MbLhmvMUG9rEza1yMO4U+pi9xbwcGjO6tzJf26eMr/xY+ytJD
I5QE2RWctUbevr1PtVxY4mcPPRGVAvoTc3PZ0IT8iQFj3ia1QTyqUbfWi1tHNd51NMqIORRdPRME
fz/QjUGQqI9lskHVhF/g47/uvbeKdZkXiyIlh4iTD8EaRlVh5mZddBGruWSlYx6K7Qs646ofxcOf
kv1+PQxq11Rg2ZORlfH2YcyJqzlNw5El6alZWxJ6gU5xcpfqUv/zBWDlA6MbtVZ68WkYDr0io0vw
g4URGvMdW94vJW/5jgmGs4vXWleeXuThnz9OAnHh3oHQJ3/n5EXC0lbZiLj70CoqagVa2V+NaTmH
XoSwxCTr7fbj6703E8PYcz2DzZxLCtTbx+mWKrmbczmEgxmp+ynpNTz0nXzA/ajBni6iS7uq8s/q
Bu8NGkCm5LiAvFypiW+vOqSJN8Z4CsKyt4zA9hqUZSJVNggDlRVJYHzySb4zUxgohE2Dz5MwkNPr
1S4zMG3nMbTmOL+orbR9bHVz3lFPy79+/EDfuTUq5aDguD9Kvvb69b8t39ZCrXNZspE2JPJLx20c
bMQ2BkSlR/wNKn75ZFv2zgVNXNYs4vT6Vrbf2wuWlYkDBbNEmDdxtC3t8bUwU31PVFoN/aiqPxmg
7zxKcJpwfenwwpQ4PRbRSO/p+6pj2DFphSj78h26BhN1uf0ZPPwX1e1kK7Tug0hAA/NFNflk4rMT
pGN2Ok2hzJJ5bxlQC5pU6W+yPtM29ig7jp9qeZ32nXrW1fhrrM5brtSxj59TSNjfcXWbEA6Mdj+s
gSyOYUV3cdT2ly6HvjPGQ7YvMbHs4ziXn+HJ3jsw4FPgkErR0fo95GrRDCI00b+FVttVSIQijFiW
PllHIurKxwolB7vYeYqfPNbjQ9WkcEeQCimv0qhSTCEAAbrNx2PznTWMbgBtMo29jkMD6+1QUZUK
MGrLUNFsqSA2KtyVvjRAZUHRVWtmvl8Ur8NcWRmfHODeuzK1eQrZ9CIgFZ1OM1ZPHnwST2GmOj8I
nDDZsC/yEke5FWpSF492N6T+2Hn9JzvNd4YrLRD6ShzZGK66/vaWY9xfpay1KQSKniAvs3OfjEAj
tJrhsxjud6ZSKNvrdaiFwzc5uUdDithgOZxgNkSrON8cix1KnYke7oS4cV7avdPowyc3+M7rv840
RFCwMVD10xr6rFl9m1cY2+sZwomKIhatNriO/TJOJTMAaI86+HgY/fZMGc1sMK21N0E57/SEQuu/
0ia3n3n70u6y05Jyp1fmuENK+ad9QZ1LMWAhVLCLcX/Lo6szMdiZAwdjFV2e4b1L/Xxw0RlR0f5k
I/PeXUGaMvgEXaA1p6t9qdVz5trKHGIFpkJftGYfWIhWEmRKowg/foTrMv5mZgMiSGESSjoFVoS3
J2+ii00GJSzYhBS59CUKbFr9y1IBYPn4Ou/cFHMPBx6d58f/vLfDX4uBHsSNMYdigINg4vnC/0LO
b+xVzbePL/Xb8F+5iDZbY2Zsjh6/2JZ/W/js3ANBsBbMsa02e9l3ddjhrtzIXpm3lL7nR1UT4/bj
i753f5TnjBUny0ngNAwrgZGHWVVDdIR8DW6Gnt6WMzU7RyKO/Z9cyiCCYL059kpvH6WN701Dtbjq
myQptVaHagn+HJJ4z/mvftz/epn+d/xaXf/XQOj+8z/490tVzyC+Ennyz/+8ql/LO9m+vsqLb/V/
rD/6/7717Q/+50X60lZd9VOeftebH+L3//v6m2/y25t/YIHAF3TTv7bz7WuHc+fXBfhL1+/8//3i
P15//RZg66//+uul6ku5/rY4rcq//v2lw49//QU//m9Pff39//7i5beCn7sbU7m8tuJb+eO3n3r9
1sl//aWp/1yTuujy0sZjAjKZD8fX9SvWPwnyYDJC0MJI1FGd/PWPsmpl8q+/TOefLuQrlYPpWrSm
YvnXP7qq//Ul65+c5YBRsZ1hQlt1I//37t98Tv/9uf0DgtB1lZay+9dfbJtPXmxOacTDrkVq6vL8
upPjkJF2MQJQfCO6uSRPuenl4AgyHI+ambEBUBu1CzzOiIwdGaPvhDmtjYpzXTQiOiRLo4Z14qm+
qVHb9DpZ3+HGea7Zcx1k1GtXxVR5xxxHwrnHpv0i5rwFng0N9EWZkoSbLrZ5MXhtaIGiPtSxZ2Nv
GLrhbEoXF5VPTL1HgWWAS0YbSQ9Q+l0f2VSTWym3+OyWr5PD1moaMKQe8IYQCDsY1lHLprvSq9KL
iZ/eGU6LDrscRpTsXdw+SfgYmJNlt8WHfSOo1freVMLDBAfgBkqRxDt8hFkosA9vcpPUQb/F7+G3
SWrtGt0AYl6kYrrJgDz468IaMDvpyAVQUIOhqM/Anow7EZfGFhv08DIKmAatYb4CHULUX0EyqDBT
B3ruZWe2KGZ/VATlD6MdLihnDWeaIDgY7KPmHMZBdwoc2AC34fkSOjOJLnlSy1n5TjNBbrTay338
Okz9WjqfTR1eWt/RJuXr0mrIb/vM2Utp4CKq7Mb7GmsyPwN3V991vUESpTkISJa5+DlBUtrn5bCd
IgrkXdLP+wED5CGposjZlKWxk61a7l3ExQ9jC+WqxxZ7ERuLc+wSq7F8gPLDvsIAiUkwFdYRN6oW
9HW7HAT25ksjVYFL2kW18yo1A4GbraZgoyhhDxJsCnhzZenMkIR7y/rJhGwfh7ZHchxVy80ymNaN
XiKCt+sCfwzC653bKO3O87ruOCwpPiIjt8/Q8AN0hlOzd0a80zEf6oMulBFQAnphegP6rgG2EOCY
yDYWW7lNYyjaPeQGoW9MGE06nQjftpbIrycHwx6edYT/9NiLetfJ3PmOHpXvYsHl0Ql140zOI2fq
ZjuyOCKCizoMWo1zBuvHvCCIwgo4CAG1cdJi40QCQDKu/0PhLsUhKRq5rz0ITfbo7YphUL9QTnHv
TTuS29HTNCXwVNhcwhZuKHt7QAqdmU+V6BP09kqMRznWy2PklUnmqx3eRc7f2CDMLtOeEpEsyPGG
4QXx9hxErKoNTDhd33T1pB3czmJxVcs02SFRjviPJcOxdGA3A98WUCxASHszqC8DRXvYVz3/d+az
HPzZ1jXk9CN1bUtMz9jV1QC/3/S91BPrHovGc65oLVJXYVwidz0KjOS4BjVtZyiWdoUPJQo7Dre7
Ec9XWNUgmMqCRyShoV40DQkSJfLWvT15CQAhUCyT31lJ4vj1LPovzegtuR/RSkWS2z8plA0f9KFd
UWrmuO0I/1WnqdqXRBxsdKVVMdvnT5XbqeFoOtEjr2p/nmWuuCmS6YsTec6+txQjtPV1NCIVM64m
M7sVKYLvWU7pVknz/Drq8bmauXQhYY1Tf4kW34TYWmX0EMqqyb/Y+jTtYWT0V9IYnNdmSrTj7KIY
Qi3bGZh6ZRogCx/hTE2qPC9MdVLCMVb0C72XBYL9eOyaDQ7Z8pJszgxbTGFhsMnbXQU3yI/65bsy
tvNFAv7/B1YB9pQm3LVdXXdJMJn2tO1cBT885qlXLQIi4/H7dko+y7NSFONRz6WJnH7e1iJ/yBXT
Au8+Zi0meaUvxjO3TwfvKq1mkjuUps8fG171y4rNSxbgT19uKqW8cOPW3BhurB9YypLI12EIoKFH
oh4Kxyzvp4qY3oOqxuUuifKu3mT6FLLeJH5aKGe6E48bzOHSJ/R89kVDfAA2f12Ebqp8QWFtH5e8
yO7pG6D3Gt3zeIRrh9tP31DG5LlXSbab7GhDgzDuNoPixQfDTPrzGATSGtNo7vAdQDjKhxejkaxY
fVYcDOjQW00DdzZBscVbb+UBul+ccIIYY0yoRKFDaAwHIHAVBeEtXYUXO2+/ig4wlDc8OUJcmhBu
bMST2LfiDCpDadupj/oJg2E81XuZ19+gWswXylzF55a2DhKCHfcqfb2wN6SBCGqKtX29MFNmS3dJ
WdR4UiItDmNhFmcYufHlwhe6z1NnfmZ37YZAJSG15L1AADd0IOCW6qsumidvmC/z0bvCQhn57dD+
kG3TEndNl5mJMWS2GDmlOtPlQo0X7VU6HKAqH6WjJ8FsujeG0FBKKOP3clSiR9nVycbIy3QTl8vC
su2VAel82SZ1PeBKeUIkEZBkjFkGiLE40uMrgWxv0xPCfiNE6vpdn5/3+KqawGIBrmC1jsXeTD31
rh6c/FvB8SDz4WU7ARak6EBaRLPr4Hsx2/XicSaD8AwowLJzbWgiWLgjUqyd6qnHeW9C6e/hcDmY
VDS9Nr5zQK23ml2mSN+l4ZDo2lk/AGTrV54o1Ju2ThxIBfypV1hCZxyl3ZnuZvPZ6MTRl2qYrOyY
Vo24nqLoRRtHcdZGLGI2oIDY0SiK03najdNSbaklYhV0aufg5SnmQGklX5s5tYAU1QY0SyWuD6UV
TWUIYvbgNKwuzMsu/7GsHQNT3WQVNg0KJ/ZVPqtQhmKh1TfxtDjfSl1cDxDAB/ANKgrwpOjKCz5i
LE4Sau71uMz9FyNXH7uKN2pyKR+l8A9c1P542sEMbasWYrxG4MiDHinVPm4GKwlKtp4OgDl1JUew
ifBr2s0bxLj2U53iG4lro6UH2EQXNpC3ywSk5S3m2OmgdXmzSZRmCebCxTVYGRj44asqL/yNwvQ1
lVNzUAyucxk3kXaMcdRvwVECQzdloFutHgIZic6XxDZ2icBD5IORyyc/94ok6LGQbL0+2SldXe6r
obiArKP5ZBHRigDSUgXKgOcf1B6K8bw3QR5JnDK4fPKIjPPefJbUgQlJc5XJLzMtxy5rg4jUV1ZH
6c2XVQRfaSEw52xqtfY+g3fHEqLBLhs0dwpGTW2uh0ap5V6g5N1MvOzkTmS20QQpiI5n7DI5wAFX
GwMdmuYOVH5Mj9xV7vJkYuLCJEi6+mjXX5Y2a762tLfVc1gM0aswml67S6BAQPCpnWVbUUqJgiV1
ntt0WAQUwtTUtyVILmJyQa5aduY+mFX3szWUn5W0jbvRi9yNi7ESo4bhwmSSdfHNM2qJd1hkDbxo
6V22ptOzAyncLzB7lGzDV5UzZNg7zSUJiXW3ujPNrt05HBm2DcjVWytjqDQuZiCi24Osl+1WxQ7n
steiw1QVOsEfFjQfyQd+ZSn2o8lecouRB1xA7CThMk3Zq1sszsYlk+XQz6yk1KDyPbimOuSTaPbg
7paHcqJhNxTPjakTfByBGnUolLGFyM9Lj51YseDfJ35CK746xF74Tpqem9ZyhwMHjzzhB98yaV1m
uWyvO5HHB/YpN63ZbIVdX+JZedUrj8ZVeduo3iuROrfpZL4Yub5TgKntx2rRz2Fw34/ueBDCuY44
UmO00g7wpDvqZcBSugagiZnYhzbG44tPkaKso+dBa7GnH9WNMBNwEGL5PmXR2o0fgXY7nswgwyd2
dztPjYbWMa1GqIh9VZAD7EgLGkyevjjsYG90CiL3NB0o6yTShiqkz/ENAg/oo6oYg8rRxWaZjOIu
KozMX7wJFiC6kzOs83E44si+8qx5pszutQPb3DSyjxiRFZtVL17hmMp4M8IUnbeeUJVNYrfZbdzz
LauytdXmC3WslX3nZenerRdOC4lgdS1IfDsosVCunaWy3YAj5XJpCsKWwNHFHLmgBhIWWl0mNLoC
g+DQa3M1Mjt1CrEBtgSps5wXdz27nCmdILV0+GQcRDJ0ryj8+AMwgdAwBbNwUSf7fIxw0EQZpdCS
D9hKmX9Ye43mmEkdvpobTxeFNMmASJ+ABfMgunJSDuUs/g9zZ7osKXKt2VfpB7iomYe/BEGMZx7y
ZP7BTlZmgjM44AwOPH2v0JXsqlLdkt3uP21WVmYlVWWcE0GA772/vRYniMY/qGxadmD7UXmxz2s9
duCUiZqGz/U2ykROHxKoBg+T6aURm7kPpq05+k6m0jCEpJB7wVk2oz4XjgMJgz3wp6K3r7Xbszg/
bWBt8/4L64XOc8+acgwockgk/Ic7v4fw4Ope7oKybg5IvvKTZxvZoTWjDTUjropAhPZdYS122je+
eyDi0EODCPqnsuHy3iDU3ZYnNSeL5W72xBMAE/gHozZOutvquwwrFKhZGZV7WK5NlY5ibp63cfkx
la111BNIMsyJ7NeyeVRw4p4MefX42oGWGQZvJ4hyvAW25iub59GzterqywRgy96P2Zy7e3T0w6sK
sQlQU0Xu7Q9ogmsuXP5WifxJZLZcdosvu/2qoi0pLO4Ixmb5u7y4bUS48iOHWnRvwWbNgbgY8G6l
CAfW/g2UBCEM3Kbm08pq88zONBymeaNgJVZShZ18hEsRUEaW+SN0wojFcNk8e942poUyt13P6vCu
uWk21GxtCbgDLjvYHv0PVkTbL97o1ToeF+5DcU6LwW0F/D3tZc770ofWoS396mXuVzOBeOOl46bq
EzDa6k6U7isXA4efaVzN82YMfbNX3Q2gvxj9CS+02NN6bXk+l3y+RT9MMfWHe/tditjIluWB4FH4
ooBxT1SpQ/hx21+/DDoc6Xd03d1EWHLHQvf6Gm4ew7BpMb5n27ru0PeIX9bohx80XMsTHLHl9T9a
r+nBUoR2LDyLzVwBya0Ar3KEr2ftRGB+WmGpL/8BcGoraXSA73Gi+Wj2uHlW9lHvu9K/L8WU7QI/
yjktiCfKzvLeWqy/ZSz+Ww2617bhr997bn/q0/0fO3N/+rcOP9tb92v4/Y/6/7F9dzMS/c+/N8j+
qX33Bl/o54//cREy/9E2f+rg3f7Dv3Xw/sLbf/OXYHOiWiDG+vcOnhH+5T/d8SQ8WSqkk8wI5W8t
PN/8Cxu1BAxuHXr2Wm6xlr+38CL+L64kcnmsY6CL+O908P46A/uvzjzEQSx+ASEWOpW30NfvrkIm
3q0biqbZpeVLc9fF97vj5emS/IqS479rztt/FQr8+cXo/RMc5ifnreCX+3NPeavGYrMmq2B9PIB+
E/utCsJUE/SG/NsRmT6sVR1dFA/CFrxBYb1bSBgAJBKvr80swH+l8/BXVrXWr2WQ7ZneT35a6zVI
lyYQr2Guu/0ytLV62bZtOQSy7x7Ja/gXf7XdDwmB89AScoUANnZZtmu91fwmkLR9860yEKyQcqRh
sCXBcrrSNqlTl35m6RxLAlj7cHYOZLfcF6h+U/RQRRJM/LiVIzSwgBxKkrPYPJ8igBdW2sDo+LAn
cKFJO9Jl2AP82agAsyb62XE21Mcx94gwZpnh4hJa2eg9qMrEvrAOKA52yho0oPCZ5bs071mKORmB
O4fPdlSAq8qEtSwnN2uCgEP+0FRnMzDg9VZTjtWvcZaDbHQYvYGdQ03rQ2Y9jpG/8hLR0nwt2B58
0D1RQKikoTEfZQhtZ7PDNUu6EKwuFIB1vmtocpU7veU1lS/y7ODQOG62z2wU6LAk8+BaMmFtWQgH
3Lpbstm3U292hwp1jbv+GDeTRgR1xOodurkN1GOhM2s8raUJbNyVQaRiYaz1S6sj/8G2u0XskWRX
d/bK3Tb2inqxUruPjDlmhUV+pTUrujOSG+3t1m2z0mFYne/WyPL5Ux3Bbk/HouQH9kBIwUNhcpmi
RNKSleSie4ASJ6fXrV1aapKok/0+CppoOCGPMb8D6wG3kOFci+HFQ2uTPNX1RZUq/ArfH0xXmeUa
4AkJyCOLDQ479kr0O1Zyx6dZUyFBzvXFazQGCsIfCvc/YHDgHCz8/qNdtXnnBrU49jd25WRA1Ymn
fA5gQt8083Fh+tspqjvjlc2k5jla5n5KMAMFidMU/cWdoJrFAlrCS1c3Ks16e932IzRmHrE6r95b
S/WPqsU6Cm1CD8eQWsZkqbBkNR9tdfbpwSn7o+0NwNZROGyHqW1NgDSBalimX9gg3dPo7QusCla2
C41VUn2X1dEvDee9t6BOJHWYtT9V5g3uDukB2j3ICvTulA4+88Kzt51jZe2TUF53IAhn93s8gcED
jyob0ncFkSOeBciteDLxmOxlU+t8NzlZ+RkadFhg3hsyVeyu3THddh4rf5I61V6xAK+0BP2jgYdi
XK8Dai3oW513YgGnvjMWauRU8rX97q9WldMgBWn4b8a/v80uiTNyl70NuW8zRSq932aXsCJG0x19
xGcqaQGu+Co//sNT429jlX8co/xvX4Hyj/wM62H4sv98WxyooxVAbETOKlZbcATs+P/4Cr/deKNu
0k7T8QoNxSu/QzAO/zevQADzFjwgO+z9Ni5kIXDgcvGseAoSw3OPfan+zSv8JmsjVEcymTQTXTAe
iGQgf5s1AbIqeqekgmE3wF3uiqkzX7ahCb+I3DWsi6l6GgXByJTDrkJ5J12R7e0uqO8sL4ffErLH
6Kf9MjVfqM7cYDfkhBQ+lDWbDeRkqawD3hJzuZqGWTaJVVfdvwvJ/Dm8wG/A1YOYPCDqTOSGRaQ/
f9B9Wy293wcWUDLrasITiqqz25r7Vv/39kP/85VsJtOOyX7xLVT051cyXBxZZm2QaVu71yxU5YWT
75Msmi3519fu7Q/6r0f631+IVVQOoDZtrt9eCHSc3wjkHrE7+Ukj1M7R7TsagY9//TL//M6xd0p2
gN0tPvt/+hJCeWvD9dabMVkOByvb7moZfl2kfzR09W9e63ap/vlXIlzCvs3tbyTbfidKiICGtymk
E0/hcpJl2sPdWzDm2sOlCNJ//Xv95iu6vX/BLXGJXZFRO1v2t1/8H2IElS8HN1xwWS5wgGr/HYYW
z4jIaGnDfAa3Tts5BKc8/LscK0iHP992/vrShJcJMRDb4wr5/WrUbkcpIyGI9bY30YyYCWVQ7tUB
RrEpf5A6Wpxdu9bBD6Zg9Tkf5fbs6BmlxbD0buIy0GyPPOjFQ9m6vr2r/E4WbIBlzF58bzI+Ot3U
h9nrMN7YPBIvNGW7N5SLXC3eVI6v2Sqsr9k2RN+y0GfGOIQsUsa212cisfxbzWw0E2wzwS7Mmrh5
pwwI0qZzhWg9ntqQ012Mpnz+Xnda+mwN2vrN78IFgVWPEojudfjsMaMYnvORKQOYLXdbzo2Zmc4l
77T5few68ViDoKC6dbIegCciwLPZBYMLvicSz86U/+T5kK/xYsoJCOsCUiymhckAgti09aIHX9iX
Kexs/xwtef/Sb1q1p6XzVLp2xvBDrPn46MmiPTV2IY9NkNd7dwQSERcIC2A4d7OtDvNE0tlxNSyM
nsMJEMUgbM04nFvDTcZbFISdcqv7XgqD8c1NRMjBc62a5aHbeoTtmd03d41a50+UhO2lJwOTFD3S
jghuy6Ol7DZpyRZcaQAV9E05TkH0n7DckHRuH2yoR006z6wrvoDoCmii9P1gx341tMvdYAy5vuT+
MCOgt7Jh8Xcl08zpgDl9wqJWBcGaOGWrXzoZ5MVuEGH1NULsUHK/O3owpNMiVM4TB8PohVh27xws
kpt1UwRQ3A1Ax1Q774ZvZVdDRf24w/6QXztRSX3mw7RTlrUBHIfZfCaKudIYUcxEsCyV8lXzrdkb
bIMtqSRJ7V4nZjhQ6DEieNcx1/jeyTi9d/bGADyapmFPvorRWrv6qnjk8BDs+qEEk+iXflfGo2jV
3TTONH8MA07w6ChxsjuijM+3nkHHeJsBzKXhrXyIirA/0b7g4cG6o8YGxbXjHDR/HMT5wmoqzip1
TxT5FQUMCHc73y4Ke2GyDJ0m3onBiOSDsNswZUuCCREnRKaQoxnU517PjKwI7WlAGzDtTPtBk2Yo
/5hNx7dgZGajcVy9qNYvhEPKz6E1ovbCICg41XKTYMmitvbpy0feq19JJUAoSpYUI7HiW+lpB36j
91AC2wKiEcHh5al+cKnJlt1YjrXTgKQM6LQp00d3wfnyi6zA3KfCHnTiMONPoUhGLwUrNKlHDGCI
fdMeP23aoqlrTPporFo9QkHzOT673S/b0u6xNBs7FfizjqVS02fYk6r1cjHw5VrqcE4st8aJJkTP
4J62BqC3NTTehqwkXiJ1Y8JMy6fiRwtn7Jmg6c02Dwvpi3IcDV8KANhnVJQ2FPTMlGmgZ+882Og8
+OpafsqYZPzwIYh/rqDsZIwowjkwAR4fgVTzcxgeLS5b9c1Z+MoyPmH0OdaBvo2xn3JgRglUgKVO
OnvJjT2xZICpBTe5+VABYrm62/qllV2BQ6GRVziH2x9oArLwoBsI4XtK4X7dwTM29WExoH8AW83E
2ypU7sTNQBTBazJDJTcEkdibtdn80mMfJlXn6OgZb7nCPw9HzruYk1zsB4Dwg7W3nE6sSeUpYGvQ
v0z7Bj2HJth4IOaPhmC4HvsMGZ6oMHV/p6ySGTgEWrquSW/S5xTJKKBxMMlHnTNxi0ZrWpjLTiz2
8srPLROi7PrThNXdfR2plkDAuNw6CF2zhD7OWI4uThnAaywMDmOxQv1zkL2lD3amrf4Q3FiCNG4h
SwWlrc5Nrwy9m1Zj2zPFEW4Mqd14LjCq5qkZSfG2ZY33JqfF26+l7M5RZxWsRk30GPtwXN/DzsE9
YLF7w7x0W6ZX3CSVvRNCysfRKLFlsLr7XU9WCIw4QmuU+tXWOWRmitB5q0MG6XKBuFWrXAXHdsQx
eWIwpdW+atct8skTrZ1+ofYrt3NtCoFJnIyd+xiMsPII/vS6TwmbT+LJN/1mbzaTeWZU3FrfyFVY
MgmF17uPmvPjtccOgtxSb+7R6pEOHdlzL5J8tvN7y5X+s+wm291tfrciGrCyGQ+VIJch92Sk/fzT
V3yu94E73dx7NXyytJw2Kz/Cv1zt97FqOwotXy+XQM35sR26KL8D6wuHijJcnVbbaF+abo7IAelR
1Jfcm2Bk472NHkHx2dF+sdemO69LU+c7N4gwTlpjDp8FvPfQI78wmA1ARffrFAimCRDODLfqYngb
4YaS/sXzHPFtOc6Vb/tHng0KtCYJinuFkAKyZO59aXIbkHNJ00GnYDBHErpW84XJxPaxcQMI0twV
Mh3Q6ZUJd9v51Ne+xbfE94YCS0dhHXJTTY/jJubgyrhguRkg1txKq2FRPWmfyHl2x03yzi6EcZlH
f+ajUGzhsMn8gi/DpCRApuOXdrbfppDkwMqp4hA05Qrvu1w4jsTKY2TgFR53sGCz2kOxbWKJa7ic
JwV9yLpW0S14H1ttJp/d1g26fTXN5ktTeAZw7IjPPR5MFQX3nrPmz4x3uffQw3fftqJ45jZtlZDJ
56k/9tkylR9VlUf6vjFIEASQRe976PLhFTanSZtI1Wq6tCy30/bwS5oEoyRUT8GrVh6mREJpy5TG
LlvL5TyboIvbjaPVUiEO/GYsdc33bg41PZ1BV/VegotglFgt7p55oxy/G0hu9o3e2J/Knc48uowl
qmuTscl6FKFjVAm8MQvYdp9HhOuMqF9p2VjewFQhY/rMEASLmS7f9QjzMVlUHYX3vrWVMO+WkPl/
yNCvQzso81OZmfwRCujfx4ZnDhFOPraH2TLtinsty5DHfJDCO+XbVMnzAME7CXs9Mh1qYMU+W2AM
54QOX9XviDuppEEVkJJ23DhBdfTX6ajPL2SOdyACy3OY9yqR9GYS3CrH3vSK+8LdqkOmowL/NhGD
zALzkPPtb1ilJXdXM6k8LuS+wRh7OJuxTIZXSNDm8Ks3ZqiBM5ka3ZPYG2rDkDxrIagwqRya+Wlu
dF/ts5kA3hHk5HhfRNL82vRLV3Ejmbob8mG9wJZf3DgcGa8wKjOXNdX+4NYfYOpAxvXMUiHh35Zq
7XFQnHqFO1/NdWztuwhdLKOhKaq/lzxcORjcAisSXmwZY1/wL8us/Ud0780jXtE2/NTVnOfvkSk7
spFbVPJI84OvGasfaQG0fV+3WnOYMMyvxsKu845O9PC0OJht46YZ/AuapZCmQ1i2+yjSjQHUpAht
9KwGir212BZUNBwXgR50izy7m5F9b6CEgIO0pfGVMgqhpCtYSHkJZBHistgE9g/e+/VzLLNq/WEH
yAK/W6q1RDoFDdYDsxaqefHw4R3nse9aAoFRwVmLNi7sr9BqEnp90d52WjSYw7yQVLIH53VaG+qE
pjPX80qT8GRYQFbxbOHXvvLEmHd1gVwyDty+/yXdihM0nc14KavTWlWXaWJMuUrH3TNkRiXMioJx
YoRTpUFb5PALy+xhYbHztRvSkaP8QGcIScvMF8Bc4Cc/bN5IpxpO7brh1Jq2LUERnVFuVFvwhBOs
h8a8DeF9iNNsT5Xh3U/mSg3l4oZATVe/8ZULDwFs7MsQdXZqhIPxy8r5Zu24Na8nbUaZPnsZptIL
igWHU+Mq8z/IRk2Hfts6442gooOLow0ze9eWGGtvZ1QzteDSLIwES29+71hCpgqLmNpXy1jvlWeg
raHMUokaq+o61LcAHDMBHAeITu1DppZsO4ltW/NTbRSu2FlDY+JZlD0Cm3rW5cnwNQFbVfa5vIY1
lPPY46L9ECqQSObrpdP7cZtaea2mTV/awnbWE7fF4kRRRdCLKKwp9sTJ1z94GpQItLbGgUwP4fec
97e6S8DctgY5QsQHAnUsc1jjrdn5w7Er80I/IwcENq6I2j2uZd1/74NhvnOYMByyoMK92EbTEtt9
BXlgMoT+YH9+BtgqFz3ZTILZ/yHGOC4Bs3PiEdeWLnpwHjMgs6+jDGlPMoQHPt87XfXhUBRXO84i
8/My186TsWTDt3AgzrIHN4/ItTDHy+zV7ufS2Lna5W5jyruNoSppEzGq4tnPTButFVTVNnbYB7gY
c77qfU907x7ysjwO7qz0rTYh7UJY1YtFN6s/OimmBwP55HCi61h9d3O3H5GuJqMnEWJsq5VVd15f
bF89i/N5Yo+KmbgjDErCdSi/wHhCmefw2EU2RI8e5wQyAsoYnj8jk2E7SgxfqcQnzMsjYAi6q1Nq
7Z/K6DZjHjzODNFUJ2td8Y9RNKeimsd0ZanoubMWUKNmHxBLCx0Za2mGh2gu8m9AzL3Xbu3Yq5IZ
wRlA6eKpVYP5rixKVrmZ1YNHL2pfL/4A8ZVgzFdbdQENOqu/hLZQ98XW8rJLlyNzdws9f4kwZP6q
21pzJl+i5RC5xXqP+Y+6fPTVcnAtnokJ/tXxYW1dm7iLbw1veEvXczEUAoVaaG8pXzm0ujULKbtG
+3/4g23cVfTW2XbB8P3EkbT9Os2WC/yaXx6R1cAByHVQrHGbyAFyz6NHpclQyD7BDPQO/rwM10pU
9ZUr2kp065YpP3r/5Nit9ard+iWTHBM8uhtQp4VJtNutrSFZzH77xY3GOpeRjtw08wt9Wjm/w78E
Xv5lUBNZJP40974qHNy+GIpxfs7spUEyqvZa9e1JbwFRI9kNmtCTohaBqRd9DfvGOLZLR4/KWAag
hc5g8MionWxb9gGYcILfI/K4nvvBu2FUEXq8Kv/wi9FtT/ZgYC2vel+ehd2FSVRnKgL47ldPhkCU
bKi8efZ7yL+ekS+XmmHNVausvRnOAuu+Df3mOK9O9ayyMdibDJR26Enah3EQiC2riGAHC6FkcKn3
msQfff1tmoCeEaUZ/GPJDJ+2jtV7U1oUZhXsOxO/j8MDxYj1wg+wwzedvYF8DA+bZRuJrzKL6R+T
br+3SbqKYTvmDAlOaommLG4jZ0yknodzw9LPKwmZ8gmOLRMW7S2Zv0ec2GFB8IwtmenDv0y19g/b
jH+XrMMM65mlxOrY2hkdi9btd302DX7cTpZOWVrgwROsLaY3/ue5SpqC1LyrzDVA+xKVlOnDX4Ms
tbU8GTZ2KhpK6upO85iEHePDrFjFwdPc1zxrRWHAyIH/aMCk9l6vQLcOxIqqNba8Ok+dbo0SzRsR
Mtu356u0IjXs5lF5P4GHt2QHO/lt8obdKMLymXi6M99124QLlcPz221j/wWoRTNxbA2m6o8tjLov
K1atOTW20KwfeTv4+uDwWQOyZpD2xinEgTeibnuwNt9n6HfrDXIOWELzgLw+WI+iHM31KnPL+2yF
a3Ezpi+aKIfCIhXCUDglVc1+wlqZURJZfVDi7MiqtC9mHkdjP/+BII/gs+s/utjLUPV2VFKxZQCi
mGa+OoHBQt/Md+pxkF7401/pTK2NrZ3daBfbB3I29yMbVv1ME4xaMiJcesGnBbiciDbabdlXlNDF
ZDOM2xjY7DW0thdQ/oiisTDuI0tmIu2YS2OOrbkI9op5khODOeu9nSGs4IrkHM9s6Kj8yVcrEcaO
STynX668mEJsmV+yDXvCu3FlkFc2B9PClzxgK7LTCiXUNFzNuhP7qDF+QCXGwamox39mk29YeyNr
UMBbuki9TG0XrYKWyaQVmlDDpRo+A7bVDmbQuglyUrEe19HipfUA0Tk2zFkRGeush6Xmg4uqG5cn
anRiNgK1QWONEAxbAVy8713b3Jly2Ly7TgyvbTd9BiGbIVtor8/uHInrtrobd1nWcdXZOxRPyMnL
45ohGdspl/P4IVCE4zdEQ8HZHJuFu23bt3f05FnLj1qKpsXOi5MVUsdSP/X+O7WhPkOf1XubiPt8
zNm5+tFxqBxjLwqbZO64NGKLQFoS0p1KtgzIDe2Tan4fOQd/r1ufz0H5lI77CidznRRhG3HcNqnJ
7iRUciQBqGzIynXLROLdlv1doUPuvhzZWIUpt1W+RSwCWImg1f+ABi1qYzU53Dh6d2yJv0b9HNw7
Tt2m4Tyi+mHDrOoJHXj6uz1pIQ5k1aaTXdRDdMg4639WU+kfim6uPg0wFV0SaNs6Z1u5mCnFw6oP
oo8e+Fo+VQWdg4I4FBjyxctOEeolL40whMtYck6O0oDz0F1XjdjG86yLkrLLFdna2d2pYWAIjmg1
+6IoeaKdPYV6iVs+snefJiycgK0cnGcH3jhbCqV78ht+/tTURpMlBDM5NjkziPNEFJlGdFS7NAYd
7au7LF/DHzQ0f8IQe8oKbN7xsIT2A/q81kqxP2b1Pmer5MUZXXASyhYY0oElc07AvUNWE82IDFom
zjjjoua6llWJLsDAVhL3GFKZU/jt+pl3YQMXvJ2WdzcjbxFDEy8vliNnWkpTbTkne+tM9q42DA67
UA+q2bN+MFXx5E5jta/zRpVpaSDN2isL/9aOkOqcvbKoBJ89EPk2pwyYszVmIJixSIBBMh5EVwGy
kbVzNcRoO3HU5Igkiob+/n0B9WYFKe8tCOfCFccLzXEY00YjrqUrey8BB70GR2ddS+NATsX/JOJg
YRzg5OQnUV5PBzLkW/WUW3342vmNCYedK/s6Ae+kldXlZnWKdGUYxEFpsuRxU3R++cgenkHwdW5R
yHIDb0grDr3+bIpB25Dg+/5zpk23/RgptEhyc+49Se6By1ESGCAU3dn2k5W3fpVklbRejdtp95i7
jjUco5Z88DhKPC+G0TyozB9eJqvy6Jv3pvVzE06RLpK9rTgCHUYPfnEwm5l+UV5r3vd0cZRPB9oy
U84m4s6dx2w71GgrnobcnkjEeiVlFFG/hzEzxSPHOn3P3v6M+slaEFkNZsC/5S/ZD7lOptoZpVc5
O2a1+RArWRLKN9tGuwhw5S1tOmTvpMrNpMmkCq/EZlrY8iNd+OeJZO64E1zE7+DUOTLmW2FwNEBt
866mtVrBOkw1QeLZQE4w5fRP2dbPy3eBGYxag27+TauXJQTihms+ZtyYg6pvY1mHTIDa5ZMXIwBO
6Kd/MTZD4dzqYG7UPLF+uk1ZPtbAC5Pb0tB4mP0Qcbjvj9TB4QBYDKVLB1Nnc9HvtpVjX4U3weMf
qVzRIEykEfF6DfrgmNvKvkeQu4Dyty6c43yM6uMiK7Iv7RIUJ0AbLmgPObfYj6v+a+Ot3l02GSy5
RKN+MR22Y3q2ves4+wmh2HhqjEGlZfRDYLqIPIW5GNYPoRoOoKwjSMx3jGPQHA+WjpCnLiX+Hymz
0rlURVN8IYXcqb2YakozjHwbRiIdvdEVfJiL+jWzvKpNbth+9BP50PEptiRIxmWi0OjKS1NgrBpa
PyCmwi7YZZU0Qq4m+NE8daO1V+du1GN3mkopGRnwUd+7Yw9FBZMsmf8IEyBqK3sz8guMfiaEjdzG
q5thq0v5xDHwMU2v6gdTkkvpJIOhhExLkfFD3uwwy8rUikSJ6o4mM8Pn/vbQzceQK8+PugrRFd/u
bwz64K0OBPhFzJXq7oUiJ0+Fv9mviEjkwxxIToIVfUfeKqq3dKE3Wh3KACV6IvuQ8gyP9lqeLWsO
PqzKFhdWTob1QbXjZMXe4vT2ThbWOY9KLaDltr0dI0/rv1dQ8EWqMKLrL13HzCLuI12Ig+ocHrZK
BO1+NjLNqI6uzVOn5+1SROVSPUnGc/xm4ZjXj9bohU8Cbo881/BqjaSRAeLWoTMfzBy3X2w2tI28
qgf1CqbGpKizEbQ3JFOWu6bbgi8OiW7YrADS2ZyQtX/lWspSzlFmGq3jJM/LaLnfOXHyDsFx79SR
WddbO5B75gNwxiAemiHYDnYThmNS5nlpv/Ycxawd7HerpbG4TbzeZCw7Bkc5BmcgBSs8RmiteJxn
473NSPCXAY/U2w7r+p0PzroTAU7NbxW/9m0D0jZeGIrWDFfmClpdYwTOix5DfNDsOAxJZZEKvgHx
sSMye5pPYxPlgDjyrlOHfPC219JjayWp9bK8jSugw27NnSse7uaJKXr5TY69OrKG3ahT0IxddSyU
JAW2ePae7CA9yiZbAwWEbChfpLX2iE+6qiU+v+nopTE5DtzVo6Hr57HNgnzXIMajNp5DFtyIMGBc
xusZ0UiUeW1yGgn8Xwahl/o06m5kWNNwf9w5UT2ciokzxPeOIc76ZvjSKp4HgMeaSzbHJL3iNCtj
L1T6bZ7LRiTZIuTboJeIM/IQ0kVnum4YBN9pm6fbHBnF05iNHaMvHJlfnTxvTp25FUe3aPFqu2W9
vYvBcck9LtULijD6SnCqM4PPzmeDiz4Hrq+yFwvw7E535nXU6O/uK88ozOeiWLnCgQY27D7xyD7h
b7bEuWTKTE1a8O7Ha2hPn8RFx3ur0uz0OEPkPwmb+/BO92PzyCLW8OJQ9ruwfeZOnLPRZzEpt5bp
ymqoTOuqzb/6HISGeF4yeo3lX4XD0bB+9sS+gx3KcDHvcnxnt40ZMS4XY8vFtLPcHOhfu0zi0clr
h5VfL+vbLz1Uofta+HjRJZ6+L9IkgRCb1jC+jp6vXlc/cBgD+51Bs1+053DrVZFsEWruOHKmyovX
jRpi1/SwxXcchJsrDb36iZ/dsBIwHKP7R7VO6jJLTz1aPgcTG4Pwe9evxV0LESFxGLkn7EXOZ5+2
CWvkHpMDPDPKWPPD6ntoaYCuh0qyf1wGy3NZjkw+A1PZT6Wc7B+u2UVFUgjonFVNqPOr4AxI73Ml
FxEzegyOA9+Xk/LK6crMLfhmdVN4Acjp0VZX7GNFss+qg1amaCgEhZPabmk+AS2fD7bw2TgGc482
bqi5w84TN6Rg7FnwnaiJmVo2g3W0J5ciS8ho7PdkZ6O9x3DiF48sQBVbp8Ik88r6c5iUuiNaWDy2
S0WqkMtKshRI/6/FNUwSMpYEZqfn3u7tx0FMIhUNpDO8LPaHpUbripQBAi/4ks+e6X22k2LwGmAf
jBBrWyO8G9qVq8SVOJ60yTayMxtleGb0s3yhUyRTTs7mFjdrN16UU+R3gdcF7+bkA89X9nTf6Sk6
CnYT1qRmBk29YuU08BmMSc6kDP5/8F3K9nM3RI+lmuhU1TckcO47ad5Y5oMjkDrGHRjmpOF28mUy
OdybXJp7Mo3hEo9ZYTe/spyz31Voso7nPLSHIslq7sdHDukkYAtdmqda/y/SzmtJbmuJsj80iIA3
r0DZ9obdzeYLgmST8N7j62ehdUesQtUtBO8oKIoKUUwclydPZu693eQ5lKrum5IGHuhGvauI6j2r
VB78wM2rHX18KXS1qr7rIdH9xDln7GhRSJ4G+hsoZ4ZF+EuU3fFdrjQqIyKVtnJHunJ4KUaxFm99
KoDMhZrk7r5TEKhad1ag/FI4hltXBNO7Qv+3rO1UiOInzzPJstDIIj2BIg+JpMi6oQwkt+nGFyh7
wgAZy44XKCbCpS605XrbGMUaFnia3JDpblZJCEh971qe4K+SxsiFDRFFDgqbGuEujb0x/jIEY2+3
QtLdyMR1lj1EeLlNxpV2Td9fI20R9EwfNEStbgcXQBqZV6gIeN6ILnHLtHAbBFGz9J48p+l9a8dC
5qCU2lTcooqw8pLWu22CimZpZUjr9lXPCLPACla97RaC1u8beVTJOpsk0jjiBY9I8CgrAzcJRq7S
0YampDvGdbvWh3yLvwB53RtRcBV5dfTkNylleSDn1zBFjC9U2+GbCETJDckfKt6O+qf3JRcCzlXX
hHceOkVkgwzJo6OEOD3cGKnAE5ZHPediZMIaRyB6XvWjUPT20Pvlz7KN0PTVs7r9poUaTsst/OSh
ymqrX0XUt4A7h2m2NqlKpE8NVp/UAXkDFzd2xxNGv2/qvnyEhQFQjizCTzogT7yxXIH3illHrTM2
uTXF9DFkUlmlGmtf1pJdY+KHHfigxCcKZyR+YZjQQTdpqrsfuGzaq1rXIdUDc8MqAbDyNqVmJsir
k1lIbIBjkUznRZM9KKEq3/ap4CvX9NZl/V7RA1JcZilmD0KdRhR3Wo4Klf6At0ZR3oPp1jgbXboN
iW9QC/PH724Zdc8lFBlU4EetuymtBtLVPPFQPdAMAqxNPrFPA5eJ2z2Za/kVClT/jZbzgQy9plB2
UAvpe5O5wCA5dm720OcIsKkaPEiEaIN61UHFbb3FvVjepNDPRQDohkbZlGpSwPVZC+gKGk1I1UuM
o/uwZYI2hAlIVYEgrnRqpqaePlKF8IdnOgni8ithT4mYV1L4O630o9+VKJrCNrGU1n/gKW+224Z4
ZqVUsZ44YjuptZdqZibrqYwL2lc3e7L0tOE84QYiOpfEjPtjyIGGjbUMtWDTUy3ssjUzLr7T2jcp
3Wncf/KKlwwBPzd3xyN21EhHUDONcctJG7rUh5CWnxgvzLXS14JOap0AICLRdxMGsnoDWgCd44TG
uBcl99RXFf66VWTI/ocp8ym7Uu3zigIEgCxeixKZKb6492EXqPo3qBACfRNYeimu8bgQEbZcht6b
ZZbmhzeMcrRPQUpqt3QnlmhqAsyNHC3PpNvBKgltJLMbvtapGv4I+lT5jkBPJdAMlprffDqbaigL
cqBiqu6ZHz7lCwsXT/2FFGpnFI5ATzWuSygpE/lhch/WA1AIib4M8IkGik070BPWIylM2kBkzwye
26QU87vIFTvAX0OIsPSgdnl7n6j+eOVLbf9T5F79pWQFEoAtUgIC6WD4Kin+mf1XGba356EQJJSF
StDkuyk8M6gWklrakM/WIVGRUym8oRcNRL2bmJK4CmSrBs0Wuddh70dw1lUtZCYNjnpAkI9iMkAL
efLUHuwydlJ7oLdztfAiB1pGLVqPo0vuO/KE6lVpevWHnxLgOwoqRlwmXK31VeBCf7mndt4/IpvW
ZNv/U/dj2qQA38hxREq2Elq1/W02lVLbPhnop6hJza2kN+ENVHrddzmsC3Kwovh+uS31tKsXalMa
Uy20JKEiU2eNylkntROJi2LLYFkD+Tbh4FrGuEAxdabRllqkaFIIBYqtqrOGbjEPXWGoQ6rxUAyI
wlNg+dBL3VHLzdWHywM60+tqqQj10GOvaTCezQZEf1YOLQMZXai1HVF0v0SZ+3jZxJk5g/9QJ8uj
MB54tI87eTUlF/omwoSSP+bGlxQoqLXQbH3aBW2i9SVOtJca+K9PMNdhs7Cf0QvjFypF6W5VCIod
RFuRNtnRX5IzM096oE0RqQVuc8swJcQejgeTFoZiAV+mlwTl4pC0XheIPBFgVvmZmFcBEMTLkzeT
/5qakZkyGdZL06SL/IRNMAOFjBb8gBYWQp4tyUNRukrLbWDdhsGt561byr1LwienKza1PdPDJmtg
/8V577qMtFlv0RsHacCTnDW7Nq03yGhcHtlnu/hxO/nEi2XqLBcardTkjqeyN4SMRhJi6HzVORBS
bdtVvxJswZbsYI2w+cpdodTD38Wqdeo1zAMryWHSbVIljrCi/LA2VujF/xWsZZpwPguqSInub0NX
59sVjtgmKHU+S7Lu++a1NhfowBUQj7M2egwws7IMMxg6FrMjB2kXWWoT2E6xnsbdrtoVDOsOuSB7
tP+MG/yaQ4XUoT9m9c+o6bV0vBWw1hVyiwsnSJpm+2g1pmZ7MD2GLirmP7jKw357qctj10ykHkni
Pcxckrei4hlWjv5cbaQ7dyck17rdsAIvvv38sTTpn2KDl8xP5+7gBLdi2GZuiHnBt8G4yY+oO6b7
b/eZA5UEGdXUDvbuJt/9pJXFTm3wmIP9u7Oh0llY/k89reMvMSUcFYAUGth1PP3xl1Sk3Y2+1HVb
rRqnkESnzd5CTXfKwYehRqVNPEd5ov0uV68V+RRS0vsg/A/zH3jf/0Igd7IaeDHwHIYCMzxCQ3PU
UJaABkBsm3e0dp+had2I9ROi55XTCdKDjHYaFai7ywfyE1IxGzlnXgSVKGqfHPjHI9dji5ZdX6K2
EsKRUbzlKPxCSdI9VkJ2M6Tyuun0u5TKItUtaIsAfz30qKhWCuQUxbirPO829/qnha+aYGSnX4X+
AcCTCeAyg5mV1UCxE/QXgg8/sly9FgndtVAt7Da7NfUGHiDTFtLmxZLjewFeHRRCfsiqtIB9OfH7
oIXADZHnmfiHZXO2IIZMkdfrabUuEjp1NcigLIQJC0D+prSLyNzRNPbz8shPooCZydmRkMuBvg+Y
xu2Sja+RKIP1qaNG25QdjHALeJuTOGBmbO6MNbj24g5jLU1VxHnUvw1eoZdHdHKvYISTZWiIDyuo
Z80uT/poh7BJIdURB21NrWmbR/Rm84S4bOYkGkAVzDAAgOO/LRNI9fE+9gyhroVacXnsmQ9DKv5G
P4WUWlK9wBaVvV42djJxsICaikUqxTDoDxQnb3/guGStbCstjCBCzN4VFQ2LhcGc+/OJnNj+TBse
Ybb9c4vWUi+jZ20Ysx81KY2xMxaGcDJfDOHQxPQJB0MQQqGlnwUTIi1VPEXtsDMco1nVNEpcnqzT
DWBBGi6aRE+6ihLmbAPkiQJ9jGa4thCIW4kHiae0rxz5haD29LBiBgkuEbkEHWTcNOCDAWW1J7f1
aLkwNr7W4SahHwVeqQIEQPPVyJcUZ0/PKcG6BFBtgsWBkJsNqoNuCRliaPlTrNpq0Oxb2L6jPnmM
oD1p09G5PIkny2VgD7J8GT/NP+euKAhM0umS7MLw8QN6v7u4r5+gfrHV1Lv+S0tEQxwgBoXmkW7N
RaiEqRKchjocb5XxyO+EGastqXKHirnyYVS6bO0kAiEiklE/JoiH2wEY6PGqiWVfNnS74u8gZ1Kf
Je13B9YqFamwG+uk/QrT6PqyxZPtOFlUDbaIRcSjzf0R1DtJ5KHsaUM15iAGsG60X+5fypMwhTBJ
8C5hv+P3wIPOxkUqd5CtVKeRo7/r83etdMl7LSh3nuyJTxsma6XyUhDnPNIUi3MTOD4PH+EGBV1b
La+QBIP27PKEzcjsP8fCQKjCEq5P9Nizl2lbK4MpxTJvOeT0bsD716vCKPp93Cvh9dBov10Fcp3C
I5+bt+kuGoA0llRI13Lo9gu78+TcQSQm6dQjJq9LsD5zW11VxFZvSBrMRpCOG7Tab81EVb4osK/u
STCR7FObdCF653yxDY/iEczCSSIbKCFTWJtPdUE3ZKsUQEJXq9X1anW7ur7lV5vpx2Zjb/Z72+Yf
t5vNhl/Ze3tb2/vt1n7a8tP/+0sHfvLDfrK3/Oc9/3zi9/F719N/5ydn+uHw12r6yXHslfP4uNrx
43qHrdX0E387/Jh+y/Rbp39ZfVy/Pr5ef1znq5x/u77mx8f19L/wndcLp/V0x0G2PaliIfNDTmSO
/lcbUseUVenwqS07Kn/K4rhxoxtX/3J5y52usqIqOmcHQDBty3PAtjdoxVjWdA1n7Lo2b8EiatcJ
zV154OTW78vGzg2KQzrJuxkqdmeXbaK0XSBZZB6jOH8AKL4HX02TcXfTysLusqnTbaTAXq3LyFro
OhHENO6DOyrylLAdvdSwkzhaZe5rVcAZWFGVk6t1Wv+kA+GyvVNfB8s8q6Vr6AdxVU1DP7DnS5GS
KyF8nbD+lteim8QrWhSyq16AMPayqVNHjikLSWCLeEUjaj42FUAQpmoV6kjQbUR7iWIDeifwwPWD
Dhsx1U/9yjOG9po2nFeDLpyFIONz6o5PKL18U5iBU0cx2Zqm/mCocDemYh/DVKzZmf3tn1e1ck/T
lA3Pvh1s2w041FXi/Oo24AsQL3kG1bbtrju7sV/zlWj//jAdKAtXw5WwcGomnzT/NOR8FFIe05mZ
q0eNdGiGRgX1ZKPA/SbDCqAsxVinJibRr09KCENWTw5M3w4RDWEN2lQtzNACsOBiQVL8NCcF0cSh
idleyiWzMWAhZu8G0kRBKQwrbciafUmDrVMM9LkoUvoRCW3hdGl8rzRi8bcx0PQFFowaEzXTJMR7
vMRJ7Lq+2vIFEiU5qDSlmwymaDUdvsYwqV/ezmecAmBkDRoo8rE8xWfPCRAZA2UTnkZx7a8k4Uq0
bpOEaGtJlWXJzuwlUQqQvfYSdugwWHXSrUsHEWRqSLMsBAvndgiagppi8aCd8szHkwfDcOQ1El0v
6Hc8Frn3MzSW9vkZbwOwmXBHIoUybfVjE50f0VMck0ooafy1K6V1NLmHk1MrFg67NM3+8YliYQ4s
zXZCD4WA6cNeaTcqCMfgYWTj+b9qAZpVLXGEkpxw872izx/S0cv7QjrjwjE9SZFSCOAXs0HCHDvU
tDDiVqQvgQfV85Uq7orqoUMbjEYGNbjJ2iuxRw9lU5dPfnlDY1VjbbTIHrPvC99yfsL/fMtsGtSw
DqC+Yhr4liHbevVdJn5z4YRRtBsA37q2Dfrn2L2GVJKGFOT5NsOwEBqd2VZEhrpMRy/pTWUeEUit
rmR6yXTkJfSzSpNzX9OvdnmgZw4JsmpcmJDAkaKbJ8YaGvLhnqBeBtbwt5xpG7ASvwAprwt9SXPm
jKmJSk7Bzci8fSbmusNrpPC6Qs0jRbcpyL+1wfCYV9o1vbU/3Shfctqny8cLAco5ij3cCmhGHNsS
Orko4FBiFyvCtijMiZQVVgfr/W9nDzM8iGWRmo8kfYb3Bzfj0NKUOWiYMer2xu8hrVVBfyA/Q+5h
IZt47haeXvqULyaRlH9YVg5sWSo8knnrk5wjnWA+5lRY956sCN1bXOdFuFFC6tVrKpHmm6rUfUhz
xchtBTd8NzhUPII9oHj9NYYEw7h1y7z7BdOdNd4A8wJ7ZNAIkayyROOxU48Ubzd0LsS/BxcY6UpH
uuBVBpT+IJaxdcWW6WveI137JfdLIIO9At84RBlpvIU8tacJ0A/KF0MfvS9VUIfvFI7rfZj2zS/X
COs9+LA+/OtLZSp7/AkEZue1HtuuA0hogv+FVDqJes8JM7HbjdBHrKtM7L9cXvnPwtSxn6TKLUsE
ZuSp0E6eOX1EJ8aogd/Zpm3S1pX8Ko8ghYZSV4AXBBzGNX1VXyDZeFLD3jF9sElZep0BzTdAvUhy
+Hj5e07Dep2CI0QCk+S8ZWizDW+VY4jGteDaUqo+qaoHShltrKzahcilmKO0EP2e+ibGDciHohbv
Nrbk8flCSVsX5EYUaEoI3JuwMn53Ixy+l8d0coip60wPFdRg4I3U52Mq+jptQgVOPJ5EK6m5GlF2
Mczhb3fOzMrMLQ1QZI1tiJV2AGtEPQKu3xr1YYibFnztufGQUkDSnh+nl3grEyM0eU2zdVD9Skza
Iht6umCeX4hHThwtIzq0MzsLClC4prGq2BFksIOj7Aio8KXjN/CbC2HjyTaYLJHP0kgQyzxRZu87
ryhkFaQM7fLCYNlKBjAIOo8FI+emzRKpaWq88M7cg4rYJ9CggP8FdmB6+Y0WuzdNbb5e3m3nZo02
BIv7iRQIrOHHW9rIW8GXmjZ2olBPv+jiEO9LEJo3Pvp3r1oSvV02dxpoMXdIOZpcG0TDcI4d2/OR
c8jLAA2AGEKEtt7LoZO173pMd/RVIwCpNW7jblW5m8t2Tx6Tk1kIBk0FIjAu4tk7OYPAqm08MXbY
DTdgJdRtVA2iLWZa9WDWV3782jcZiObFiOrEQ1HooZsFHSkezXjqmeHCGoc6UCBy8oCkAzeqjRvB
778KlUJDtQ/9UNKYb9BzjG90QA+rOhxUp4qCJ09RvnWS96qYZXQn6MO4jahu0gppCAsJsNPdzPcx
Mzh2WPPEeSwUC7DETDUru1C+1Plbl369PPUn8a11/OfProw0qeAx8iXVzqRtJLwaMuCjR4i9NXOV
e0sV4NNTc2xstr3UMFXBQzEYN16JHuI+NOSptPlfHtJpApMx0bYh8fiBe1jVZ6sqV3UrypwomyyQ
rRqvWvRNUV6EtLcL7SaSX4ruukJHwr2Vo3TBL0hn1otNzDrxLMK2PBtiarRZXCjoYMjSuxStYnfC
oYNF/m1ojt+sywoIrNatre4FqZeNa92ayoJG7GdPxVEUQKMP1W1q/Thc5AtmwxdAuJt9y6aml2xN
E3cE8KUIrmqVZAT5NOG+ARbfhhxj3YEM0kmzTS+vxwbqjlWnPsg5Gla7wnoaBxcqmg5SrG1LS0//
3NF8K07NSpFTaP6mM2Gnd0Eeh89quRugj+3N0k6r7xQpVpFwW+ffEvVXVT5bKItY23AQt57nGJ0B
/dlzA/98qjwvrPyUdbo09NluDgLDHdOYodOIBhQL9guQfxDY+SptHiueK6shfNLo0b5s98whOprx
2aKHfS8IcYfZdtg0ndOXzOMzmXU2m3fj1sHCnX3qLo8WWJnl3iBbiNA3wVwGLremIU+Mr6KeRu7W
kdGD0ocPEczm5SGeObqHQ1RmsVyQozIlpK1GGypE+DnUBMTxAQRjl83IU2RzuoIGzz/QxVPO9PgG
coeBptwGO8PYO2BDKYw/p/EvS7uSmkfDEGwIL8YIXMxbV0Y0fG9k5UOSwbloOgCczhaAoubKbddv
KyBPgrAkifx55V76wMkBHDx53IS8JzhgJoIOeEQpQkDRqZpgjjNPF3bzKx7QuwMNbkDxH3zLct6T
iV3DcZT2ljMEwDisR1KD5OzuTfCTpXEnV/r3y/N4+hSYnAAPQZ6bikEUPnMCrdGKw1Axj94orwQD
HcKXwN9Dcyy39NOA8VGNJ7Nc+75nW8Vbk9tN/0Ff7/ryZ5zdNQdfMTuPMrxPRuTyFSKZKNX9KCrJ
RnJx4fidNrVMg4VV3TJ5iZLVnw9WtMYcAKgG5eAjNHt+icJVDNlGYhvWqrG+Gtm7yIRbNARb+Xet
h0TAeu/Kmyj+cnm8n771ZHccfMlswCQoFUWp+JKqHQEk7ZoKIHE0MX1cWbDWgNGXwEcJ8r1YPYni
xhvv+uFFFWBPD3dNAdN2ONhyc1VCIFCZ60SrnTBQ7B5hwiT+CgrGHrJ8e/mbzwR90+xNpXr0Mqkb
TEfyYEcDpOgMGMQ1KsBfXRniundB8e2yUrd9qjpuOzpooCJ5Rjpx4bSf3R4s2dQ5SqPl/KYCvaFn
bTAiQRjDvNXUEN8nQvsBjDte2CKngfQ0xj+WZuvimS5Q+RJLAIx4GJA09Dfwm+z1Rl8Y05Kl2V0g
JyyaG2HJU8SVy1U5IlarxA9qsxA0fwrZn+61f8c0vwZAc5vG4ON2gmKi7AcxyS/jq7wBeBg8NkKI
JGFpe5IzCneSuJWVKy+4Vi3CkNfY+qrkr4Y58i/fuuEWWAYV+fvUSpywWGeQ7MGZYS2kA877JAN/
ROWCGvm8PKUrsWsYk5/UBfeu9ynWlAY4c+jz617ZRLK66ZFAAZ6+Avf5LXJ/loghOJBFbkerRUhg
qYZ1fucffNDMb4y+WvSUHzQ71dGhQsVLEmk1t24qX3ZggUOU6roSH4AWocH09/cpvdhTIpD5gC9m
tk0QkxK6AGEDG9qntRUKt+hdr+s4X8jXnhsidgxym8TEaHDM7lOhikiYGHjgXhNCR4BOCtEweg1R
c4lsMKnChv/X3brUCkEncqUh64IeRWvG/8uAabekoKzhppXJFxx4Gbeg4pGGeBmSb/vY6DbBmK6z
Olkwcy4An/p6/7UzGzDcP0PoJ9gJ4RXpPWWVWdKrUusruc8cK9Oe0TLYA4e+sWA2AEDxqHfSfaCq
G62NFnJF5yf/4FvU4zE3kQX2TWORmynZgcZduRf124w+R7DpSueUYnIFV2+TLJy06c+deQaNRjIs
4/JQVJ/t6zjydQmxQM2OEMmFwMiqv/39nXFkYeZPpRbma9TP4I2y7jzjrVf2VYKk1ZvSPyYZEma3
qnzTZUtreya8P7I6OzRuhOAThOHEXsaLNL65yE4hsiSkDyWEWfVWCDYiBG6Xh3rmjqJPGJJh7ijD
JMN4vIZazatVHxipivADNDy7BLqKLLUWHq3ThJ0s2YGZ2YSW8MUNxmQGlkYn77Y+JIspyKenjOIE
rASXB3XaAM3L+HBUs5kkypYBi3FLRdmDlGyE8LYEh+r9gkKQTAMUBtyMTpZ+SCqyCd1CxHF5SkHn
HU9pHCaxVMe4XaXygXeK99BW3LaxuXAKlsxIx2YgayXHFTPGXHuq6vtQ/zq6T5fn8exB+3fVkH84
NoEctS82PasWjYItdnBTCAsWlgYxc2dRVos0k2Gh8f2t0vO47L2riSvo8kCmXTzffoBAKLhRySF9
PtvlXkGLiCmyJFWpAF2GMtG8lYqaSs21oIsLR+pclEwMQF1gSpIoIFCOp82DUkirQlYGUrh2+K35
8i6td0XWOzqyp751L4605ffEJEhGC8ZWNKqt2T9bDZSjH5Z6JyofmfEhKFA0P1io3VVZtlK7a8H4
buqlA858IaY758iPPngK+g4ur4lsMoZjm0slkqt7ORzIgGT1T8WiSMh/iKCNTYJXOCXSa38YA7i5
xXvTb+Kl75hWe7ZM+CDihul1LJ686owmk1zYqzS77vNk7ZtWsYLxS7xBfwaBQfq77TjtOke1wmc/
RtdK70bfgf0InVwX/k/JWDoAp20ilklnmCXy9DKQ+fqcuYOZEVi00qgVzR7jdysWbQ11vAhG8uJF
N/dFXzmG8Syowt9v16P1mG1XUmy8b8Fn2n5BCkTWa5HHVtPuI4AddJO2OQwqKBZePiOTTzyZ/INd
O3PRXiKbsFRjNBnXKSm0Lh3sMkjXWhQ5DUA+UXkxjUVs2OSlTqwSK39m82S6j4+3npr1CnKAnEyt
K+3qKozB8qJv7q/Mu9i4T4fyt6onT6Uu7C+P9lwWlb32r2Fz5qW9VkEeFGQvj+ovTfcuyb8/MZ7m
l6zc12HkCCNIv+sC6tFGW7gMzzi9o20+m2lfbioSmJjWae9I2vdupBKWLnhW+fzM/jlM85nV9aJ1
B6yEXLEtnFrB8EqXAbctat3fS3DafmqTIzUy6AZEZ4wg2EhhIR6e87BegerP6q+yRaY0tsfx68Ls
n/84Uv68DyhnzfNtVZrmST5w0rPmpR+uY2WvxJsWdr8e1sfho3KvE9UBlnTZ7Ln0GzP/x6x8vNui
cVQEdKs0G3EulISgdEbMNw7WNWwtZbUyQZJn7vc2pLG/pLJMNchA+HzSZIRR6wkyA9lwAMqEkyy9
eV0tfd+08CeHwdR0QjFghTR1H39eRuW18AVmRVe71cRkHtUt0hYPSD9U0fswLmyR0+6fT+/2x95s
IwqZF0PgxHSEQb8jhyMFne1LmzyHK/gqyF9a81nTbiE+8fuG1OMtdFzoNPwK+1UgPer5YiPUNP2X
xj/bsvqoJyjVTMujfU2bcV/G4wbecrsJXmTBiZrXQZVJpnwpBr5owef+F1f/72QYM4cAWEHrJdod
yaqiQ6zdxG6Oot+tS+Er4fmUf1g+XWYLWY65K6BbRjRorwfnA14V/cTZisum2fqKXzkFTDOujl66
8lZH6YJrn++ruZXZ/R6XqSpGPVbE8CfiElWzKvyfoNgHaBIRirl8yE6iibm12S7WhL5EtjeoaMuo
YHBztPoB7oKgbVZNtUIWp9FytBdeA28peb00mbPtLDeFKGhQ8kF5uoVCto9/9X8Nnp4PbrZFAQ9k
6FZiw5LhA//aJfsEmXreMqUhb0Z9Ib8x/WmHB2JmTZ7tSW0ogwaC9Aoqq7XQwAGHoMeH4Ib7ETLo
wbruhe3lxTu5NeYWZ6+K3IQpJShZvHg/YVivaALMb+pra42Q8G21QZVQcZ6GzQviT1edTRFuYfeo
CyOeeWjNQsUojxgxNBJwWBpOnS4cuWn7nc4pPd1A0T/b8o+PXNsIND0g+OyY2Wvj7w3rui5e/Xht
LGH4lgxNQz2IHTWUh7PExVA+wJT7MYpXCC/TX9DAHHR51abze2lIMy+it13i9yqWxOxnBksZ7BcF
iKBsIW45vzb0BZlAxGTRmB3sIVREKdajCo0ons1m5JjqwgV93lH9sTA7wYPoy1C4sPtGKGyHYKIm
gLrOUG8Qy0KwWVtVnbGQ6/ns6TydvD82Zyfa1HzfKkRsBmnxFskG9HcxCqKiFSc7o8phJkL0lWsh
CKPhPWjQlI6qpLjWY0OAOysQlB8yPDg/mz4TbkrSNzdi1+ff1NqPnyDCUm+p2pJlMCHM3oG7gZsv
18tVQTPNb8Cq7msziMMPGu18Jy96dTVERCjOUEMAEemet0PdzN0ktQZPnJlb0a3Reu0tmRRvH4h6
/xrW9W0FnESmcqL2MIErwc/WHPK9GVnabjQq9ZcvQiQDMTj0q7qgrUOlf0YFLdlGhfas9IK1UzNZ
W5dC8IBQ1VKYffYMKLQS6TrwT1r3js+AkMpG2chp5XjSO3jnATp7EF5qdANd/+UzcHJ/f3quA1Oz
3amXnWVCoIpnDuW9LvDQNne59S6o9P4ZMGnmtqjCCLrw2D/noenCkNHaA3MD+8jxAIumQ95U5Uwg
t0MIGW+GNHK6CUigpVufsteQVCt6Et8uj/bcvALhMhRy6yCSxVneJAU30Awmwr5uxWE3Hlvwu2yQ
6kdIz4UoRQsO5tzNemhu5spcJNcE8CiVE4mPXVytK/MlrP+2zWBawEMjMy9mlKY1Zi1GvOwXVFwB
LVrxY1Eizppdy+4SKPnkAfhpjisAjLUElGXe+h7EY5cj+Qc9RESrjvu9M+n6tqB2t6PuS8P5q2rb
4g0M/abtSj8ur9/ZCTUVZbIOyGfexRcLSNyZWU3+QP7Q4IkIaMEqFjzbOWcK48q/NmaLViSaUkY9
5PIRCMZg3HaevDJgXUjf5eZDrRZyrudHpFNumnoGrflD3lSgiNRg4XJSBZpa31irP3otW4iHzt1A
JqmY/xiZP9qjThVVIcoIl7Pq1U+1TVpa6/9lZf6YmAVAej7CxCAwDrhXSUHRbjvUjt5+XLbyX4Lk
f2+d+UgGdzRKveLWSb21kG/VHq6psCH8/1qItiXcjNmLASd7u3TIzi3TdIH/5w43Z8NLBx9N5oxQ
IYXCXqK708UlgnO7PLwlK/KxVxQMlAqzCK9YDGtNa6iyb3z312Ub56cQmN7UP8gZmQN0vMJSo3TA
SBM+e+NW7F5GbRvxNHe9bRJAsPaj9F940V42e+5UwWXwr9XZjaYKclaVPVbd6ntQvAaIgKktIjB7
JXqOtGTB2tmJPLA2u9TQ66SnQcGaILwHyk8VkoZx8eacJ2P+uTn/DGl2hw19FsLhh5Ewf3Sbe9m6
60X6FbKrwV9VHtmhzOloecuFhbvz3CUGLv/f4GAa/EGAnPtWDEEvN7ZRultEu5wk8O+azrsrjeG7
USX/Q+A/4azpasblKnOHj4CIhaDYJLYhobLnIMOG20WbLOcVAyvx32+TQ2OzbaLUyihnEcYshCX0
B4mOtU77YcbZSjP2fr3QFHlumzCPIH0IBfD5s1PtQqVnuFJTIRAEQaZR2iE6i2n04/KYpm+eR8qH
VmanOhRDjZZlLq3MunOjmnfGNpIfwnjBzLmQ6tDMLLZpun6SscCMhwBgXKvbqkXMTzE3E9VKQwo6
7e9FqV5YsKUpnK6eg81oRS7qffToOJ78bjW/5fpKtr78/83fbL8HcL5UABJwWHUfQwU/+IiQyChd
q9eV9HTZ1tnhoAANPgWgvyXOHAdSPUkNvyBkS+wEUTKvOlV7hx7Rvmzm7Jaw4HiarnwVwprjWcvr
LBzo4K8cjaeb05vWA5i534qXbSdxkcu2zrgLqgTQx3DJw64xb7FAJEQt0qgsHc3c3aMy5XTtnQLP
12Ur0zrPNvmRldnBTQc1owJVQZFb7vKxtsulsOzM9sYA6V3w3YYMv8TxlA36gBKRiwEtquDnBc0u
qZus+TKW9BG6wk+/Ql3CdBcAKmeuLYAAMrQr0NaAR5gtlOX6uuKVdQnzLVGT6Nq9rj4aOVj29Ka+
ybUlcNSZjXFkb36neGCMXAF7QgvvHixsyIkn+7FaYg05aYjh8joyNHu+p76uw/iFIanY5+pek51a
B1+Bhs4rXTgyyfs42vUILo+NDfKSR+C4sGPOHLXDL5gnjnkYQbwt8wXDcBvTriybuyjdXd6V5163
R0ZmHj7xGl5H0/pFwoBGNFpmIfqFSJahMkX8Fq4bvIkvdc8ZT56FAf4X48AOINGB9U+cnQkUEMeh
kxug/gSNWkbjsYkA21uqPkOrZlOdoBZuh0vg5LMHxfpjdbZlhRx6cdFoS8doNnD5pShIxdVGLLZe
ZueI2kVLvHnnF/KPwdme7VwlTYSRYZbVbWHeW+jd9QsPmLNTKSmqBEcQ5BLqvJd3UA039/KO7SoG
9V1v+f1KLAZ3DbM27BJWmtvAkxvb8mUo6dWRyp2aKQtx17lx0tlCex4STTrh0LEHSnSwdlE3om7I
89b1YG4c7/wl8NE5b31oZLZnhBhkElqppZMWCBdHX2MQ5bBhoqhWbhfOxpKp2UapRass3Zjx6P3a
A/SRPwbam58/9/XWgv6vy9dxdOvHP2CgHpG6iZ0RkqGAWt775Q855/MOhzzbPwi2iWZc8h1CQl+n
8pqKCLFlyAVa/cKJPLuCmsRTW5u4I+bpg4iykeYXcG+A5XSGbIMmtJNnm8vDkc6O58DKLCTykdlG
pwYrIbp+k9Th8MMUUSe+9outq123RrJx0dGJbiXD6Zt3Lfrtjj+qJVq/adbmFzJwp3/HOtutA4iq
Dg0XnE+wNmC26hCULWgRgQdGL8lb1v/L6aAxAIy+KunQvB2fDt1EOEuAG8QZRytfxciWbHlOf9cg
fVtYReVcrEHbNuxwmIEJYGYKtVI/yicKFfpLVsW6X9GgZA9OZEd3FFr30JStu3WADLkd/waCtEHk
6u1Xvk7u5btgJW25zN5ix78Rd38Lh5ku1YMPm/dek0ul8aHjwwrzOXJ9G+GOaAnIde7UyjCT4QfB
M4PGPJ7nUemGOE6V0knK10LER4S7erjSxrUkLxWWz83zoamZLwoGS+pHheHU1VqkbhHByH75rCxZ
mLmgBGHULhqxkCHqXUmFHS1Vk87eHIeDmHkXUFhJoLaYCMK9Vl776rpLvvviLlTXjXDlVjdSv1Dv
OedlZGiIDBlAvUmm9HiFmjJNhlCadoG6gae+CG6sJROfFcz56YYyjxc55Kh0GM52Ae1evBxCdgE9
ZlfVptpa1qr6GWzfhlWzye0ErmB3YtOFzbPaZWth4T4+5+IOzc92hgD7AnimaVIRxRDx00TGhnoV
jP+LHWJ9BDQmoqw5sYipd/+XtCtbbltJll+ECOzLa2MhKZGSaMmSrBeELNuNfV8a+PqbLc+MySaC
CPvqeDxnxhEu9FZdXZWVKSdtjGFO7B766mDWN8t7Q328vgsXF+zEiuCwZVUawWcFK0kiowtha0Ln
s11rzLgA13LnALZQEOgBqALMgvCAGdWs522gSG3Y+Z0kbxr05tnPIX3uZ1C1lLep85DDvm4HTuY7
aydtybyKVmawvVt4QoGB4nxXZpNJI6WcWldl92D29Zh1tKIXg32oxZNUQ7PNa80bG4dCuwd/3vUJ
XjjmPH0ERCBwImBOF05Ea+H9qTh6C2i79MOuoLTcGmvcX0s2VDSVGWgVB3OLyKPSp0PbTQ5okkE9
AoHfyQgMKz1eH8fCnQoYLLLoCB1QfRBR3/KomGkDzk/XALnJHEPOQCeN/auP/ZY1JLaD6+YWTtmZ
OcF1mdGUy/EMc9KYBNBzP2gSIxBw8wqDba+b+ryaBIcCFRQEl+CIQ2JYvFMjG/LboQPB0/GmJOji
dUOvJEZEUq+/KTfoDgRBuf/d9mpifBnciFguGtu9j9xL95orE+tbszL4pbk++SDxLpWcTB9nHR8E
0K8a/5ysyIPLjiA5A12cqplWHvpLD2JMAKfexkE10B5xfj4GapQ6pNs7V1GIQyQ0gYAlz/1oX6Ot
k5JvY05KkANOK1HTBRU+jJ2ZFXyP2gxIT7Yw+5z7TIbyOek36Egh4U5/gDDt1gmGWzQsE8d33pCi
z8m7s3tvtyElGqFB+/0OOm7QI3dD//qGWIpi8WEWOoTwdIV6g+AvaBfLqFXiw8KvUlDtqdd9QFYB
6lh76itQ/CWAubr5LvkHV3FqVj1fhpBmkjJrMEtbjUDEmdgv1wd20ar7e8b/DExYaE0ejaG2YIF9
DJ62hWjiXXmXvLZfYzd8NJADJvRRf60QTgKO4N1Efkp+/T8/QVj0vEoNCpXXzp3clvR+913Z6175
9SE/fHyrDsZmfAldrLTkgcjQm27tlU23hFY6W1shenBUSlFbxRRI2wO7z38Bvrk1zK29+3gtNwDu
hVDxekOv+qOzsY4T+XF9+Ap395e+5s8KcL93kjNmDXBEeozhG/f3tgv1h++KB4VfQo8figvNbV9z
G0ZWCq0XfYaf6w7qKxDGcmpI0cM5aRVX+Zx2bh/6bRUYKjQz0XXLTA+FUbk7SPQGpUOIkNqdK7/F
kc/WCgGLdzDvuwZ3HICqAD+cD3yqrMq0Rsz7DF5cqE+SFKwXcMquXm80bVc693ZLQNBH8uJutu+q
tffv0oUCGhdOjckpbMU7UmLqXOpQonZH49ZO0F28KxyKfPDz9QVeMyOc4RFNCmorY31DELfMdbmH
8saH1ERfIMq9EmtfNI18riqQyVwrwQL1peCmoiLqFIPvJececsBetAmPELDdsSf7Sdlo2+GWfZEO
xa9H4weijgBXSdB6E2Fu+7J2qpY95smnCMNuktYaQenVudCsNyDtAcAH88BBDlVbGIQIpUqGjRzM
N9bu+nwvvXF4zAOGEcUBR4KY4meTIoOsBQpTTje5s8U2IIdxuwZLy/IZHe/TPRKs712n+SqYRq4b
X4q7kBrXOT0QF/oRYrtMarS6nnCsVArQ789hrZdkITgHoRaPSnBk8JgS/n7oBTjQ58WsqtE0MUKr
0qIBU2iGXvic1ivX3oJrArgb8R2yxiA+F2nqDUuOCktGTTdvoW0nOY91Y7uxkRE7fhuqtSw8T1QI
jvDMmuAIm1BpTBpz7FVB3SI7QB0shJ5WaX5JoVyetgddW9kqyxaReAFSnleuBQ8EzI4ORWY4PCvO
fAiPQ/j7JQGnaZ9rj2P/KwsplMLWimpLsRW4yXHK8chC8las3SR6MnSmAXCI0rmtAWILSiCPCqpy
Xx53agaKmczVJRTN3w3otjbprtZW4tuFdT3bRUIoDUXfdqoZdlHWdbuiAS1nq/mTDQ30GIJO0bd/
OBPYskB7ggcRkM9zP99CJXHsx7LDVRIDmtjumZytvIyX5hQCMRoY9Gxk+ZAZP7dBk3KSZa3q3BJK
4jGY/OYQkMvG9tOwhH5rcROOFM0H8dZqQAIAQZtSgd5io7lgM11zwksOH9hWKG/gaoE4mhBSqUMO
NYe+6dxCsv2KdWg1QyfKlG1YyLYgjQ+KIgus8VEpTTeXtU3WT7tCVUhtVwRSr3t0A7qRVO560OT0
4VtSvKcoVhp95RZpdphiGwwuHfRhgWu+vlCLnhP9hnj3aIaOyEA4D6muRhKV8eVK/WqNe8Uhavet
sjd99AA9PVbcmuj9X7HJ7wHh1HMiqP/ZFE69GRqNLLewSduUxEAdFJrk0tHPNSmQy3vmHJQsQ/8K
0IlB/w9p4TPjwraJslBlyQTj/Sh97Vp0gttPrdL5SZYTBkooffq+Mtylo3c6XPHoFbbRso4PtwLW
Ejm+qPiWIiFt6p5JTSjpeFqzlWlCNB1pl45k8iaW4A1/jtOt5fxc+Rq+Fa9NPneQJ7En6mIQ4WL4
GgudgA7bfyKGDdAA+HOY+lb4UBevEKYFPctLnf2U7McV+7z14MI+p2LHRa2jGC8cFSNVmhqdbJh/
9alBlKtHz8i+qOrOMNHXGjgpsIZrtfmlp7R1YlN4buixolRMH+B7s8doCEDnOEkmBKGDgVWkpCue
aSEgOHP2grVoGjWJOrjUNKt8LVp0RTmd2qy4nIVNdWZEOLd6PEoUBIFAnw90R2nsmsaxMWMXlaSg
0/8BvAZrKPs5MlqZsJmFTZN0Vs5m3JpOLPuWOrt2/KLE8VNX2sGUIEBQqt31fcK/X9gmpxZFtQ2E
bQp0WjliE3jeSs22IbSD0+wfMvwwA9QQtEM4K7DgDSSI4I1lAjCvhCcZqaT5TZbfr49kYfOdmRCO
f6hq1ahy7KmcFFskRonJwIntKmCDY1EM1fPX6/YWdwZo/CzZMVEpFvM4GosBICtrDKmAPLMWtOF9
E2/szNWKNT7WpTsYIjl/bAlbfSicCdR9sGXNpfwwddXBic1jPzubagA6WlOlR1WHELmCjDLUhbPp
IUS+xwdN3k2f5cl9Z+f51+vDX3pjnn2TcDKcoRoHJ8Y3hXnyrJXtWw6R2CxLP8LxOUcBMA1DbwRF
hpEmZNbRuRrSD9Wkaz5nISSAIg3XkuRci6YptGBVVANMvAa0DgySY/3ed56TvuQgX1sZLj964kE5
tSO8/5DHqEO5HdG85oEeivrxNkSnkAvHSozNu3SYvPZ+9nOPPkp7079ufOmQntrmF/3JXTI4QzJZ
JbetphsjgyS26uxy7V+m8nSXCfFCWRo9lH9xSNvibuCUdy2oMtmz1W+vD2dpyZChB8rJQZEAVALn
w5nbokTJD3Zi6tryxqLprkQL2yqg9NOriGt2akg4NroxsFjrsUUH+0OO+o05dcguh9ZXGhVbLfsG
abetYjOiTZ2Xty+tOjz0hvNSYbMqRXqXTBAidvIVj7vop05GL5ybElgIJkf4KLR+q9ZeR2jW2pvc
AlQZTT/sbwXxkLfAMf0z2cKiSpLUS42Kye4nlBE6j4HKCtCkf1lRrCaQjGgRESuRo8yKhiVATtaV
G1kVZJ0LYgDHlior1/Hy5P0xxP/85CRALTocpqRFz0TxQzfmBwtMY3ZgFF4/fWjhuLJUyxv1jzXu
E06sNWPUxkDt4kBo0KCEzInTbiSluYPY9PX5W3IuII3+7/yJt3CZW6g35UAjR/G3FgWITPbyLnc7
46UGO7qd3rI1EpylLCWiDBWCR3gwQ+1AuJHTECDQzz6KOWdbVjOiABlSxBXJ9PIu1ZgrmVVgGz/6
/pdR/FTRiYzHF5ELxzP7fHN9+Iv+7eRbhFWdDbUGSSWu7nZMwLoCKIY31lrk6XGUbq+bWlrS02EL
S1oZZWYnOkylI91l0PqmENNL5tydmepeN7UyKrE5eOorpjJ0I7iGIh3KGsUTTd2a1vG6lcXY4GRE
nzn4k02KXZOVVggzoZRt+lh/kUqA543Ol6gGPRnVTRWAAkdzwyyUt4fEt2KUYHWIloxrfJtLpxNe
XQXzl2Ei6yzckbY89lJtYBu3dHQzUGabneW2jrEfu++xAgbfYl67s5aiMNC/AKRiIympidXmEQFf
E9nwptqkfXWaPoaoQJLBaFF7taZOHqXKymEVR6mgvq6iwRbnldPWi2hLo8omrY5rm+T199gBnan9
o+YtsfVdkuwsdaVeKA7w0xrSzkB54FYHD8u5D8Lx1QpZ76BxYc9bTQuPJW5lQLoPOrJp2rzWfySe
D24OMA/FQCEOtW1buDKRzGs6pXVssHEqBIzRhjYG1uwq4RpVtXg6FLwDuAw0+LaBuoDy2vm4oPcd
lnRwJKIP73EpH9PICiStfLp+Oi5nD1bQ2gofh46qC/7BtCq0mMUR4H6t8tFVxSaspicmWQ4ZmrFw
Fdy81w0uDYszKsKbAz8O9Ob5sOa+mAZJSUE0XT4VVXcXxZarmGuTd1EC4LLels41CTnjLLCq52Yy
FRwOpZRF7u1rTlJCCYT+Pl5c3z2uVbP4gp/GULCkmha6FHgZDeGaEKxFUMgJjcIBc++m8SA5uNns
Wy8jUAO8PnGfM3PNkLDzRk1l6RSHIIwi+adeO2isIb1t+hr+F7qtUYfmf5KT29dX7+D4h/uA7Bgf
+ObhQyd7cNR7hl/5hv9BHnQCmVSSkZeN/+hujz9+3K49CC4Pyvm8CCug2lEKwkrMi2ShfB/3Rbwp
lKr0VZp+sYxRWUl2XG5kbo53VwDUA4iScEUy0Ncqo4LZSXp2Y4MtT66tG3usD4x1AWReVpb9chsj
ZET1DrT/cOWa2DZdoSe8iHs8mzvW37Q1+FnTabytVOnh+qqLgc/v3fVnWIIXyELJ6uwaw4ps0NSG
r/2c+2kLjZqebTU005lGphAzMrzrZi+GBzIXrg8MblK48gvm35nqrWYzEB7TcnZNyAMaqUlWqfCX
rEDbAQum8uy5JsQaahg5ECZl6Ddv90ZTERU8Uv+kN6LoFgiMFbgD1ObOPUGd1pWsFWMKFH6/NcCT
BFe4EjMtjANDQE2Fe2tO/XZuop9pr2XoqXTncHiOIjloIQksZ9bf7zkugvHZq897lYSR6KHR1gpX
m0nslKA32utlUGS/Xl/5y8ub36F/jAhPaeiLTFMGIS8IzmDOFFrteqjC6Hhbg3pqk4W/ItY8Xjd5
0QiLTW5/qgLBjQKOJ6Zih7ga06lnsQsowDEa1UAHvzZr5A9FoUeWDl5eyC+KAoQlrb1YT1c864Xr
QDIRBKLIA0MDCXxewjbse7RxDhGYSUd5qEk3Wh9OYRnvtdYrrgI5ey+ri+nr9TEvbBkcLBk3FACI
fO+fbxk26n2XmGXsNola+yZ6UrZQXop9OuJQXzd1AVFVMD6EYbCGznNgtfm3nATAUYK61dAqsTvR
YFagu1nIfjE/h9mwbdPnPkNtnO4HSKNEGZ9qN8+eJrYx8wQNi/JO6u+a8Kdl7Yy116N6cXXyD7OR
lIKcMR7gnxm0kw+bm2lMax3J4rlABQ8orwRRlFO04AqhCkhq06mMTdc0mxT4Vsnsu20Jqo8HCL9I
vhw3fbjNY5tGNw1uhokg9tM8I63V40gZXvHNAOh9oEhMurXluNBdJc06yS3HkVHwQdbaa2/FDg0S
vU76Ff95uaU5GxZq1yiWA3uMA3U+540RyimYNMAY32wTPNeUyJ3NnVy4w4zkVAH+FOjZgN9/jSlr
YV/Brg7NOBk1QP1CKLOOihCNR3DcOEJaagBSI3nUUvyVPcV9zVkwgvHhbkBlFbGwgnD4fHxmyxy8
x0EVMmRYLLThSfHRsb+ikJzOfgN5xS726/BGo5uhfEY+kNmPjexGw3tV3eqlD3gr6+8hfnf9sxY2
FOJyJNH5oQJ4TZh1Mx1qIx4rAOTLTQilCQVu67qFizolDtOZCf4JJ3u2ZzVazFqYqD4SHWqnblyS
4WZ6Hb+zb2sioQuOiUMDsH9USDriXjq35cw1q7MStmyQg079fmzvOxVSQCBkWQNALO0btHAAtsLf
HJDGOTdFAZWmsYMLf6bVtgtnj6bGzi7XqGUvgkL89YiZQC+P7Yk7+SKcUQcmyU3iVpB03de1PXvV
GFauPA/yVompuXIzL9oDKwsuNA4cFy//tJkHpTXBH+RE2Q0KyjRWA4rYUF95hC5MH+Q8QHj4qSl0
IYkZZ+mg0rjFuKb6DjfWRxeizU+yn67vvqXhcMF1vJ7A5qeLHCXwg3OE0Dlxs+RNMX4MQ2BqP6po
JQRYtgKBJh0hIAQXhLMdx7IS9TG0xai86+YfMzYfZQ/xGoXI0pzBVaE8pOGNe4HBS7IOwW3oxG6C
SBrk4EZ+k9c6OrydOClXqN4vgJZ8X4PAiauk4+l+cQcmkDAvrRgdl2o0ys8stxywhUeJcmSTDK6e
CSSZKpElVf7eFlBAKrqp/5rFdN7nYyJbDw3Lqhy+Gy/ljW5bck0suQ1B89mwpzmi2YdltcbWsgsU
B6fBtr7pSam8X1/8pfkCtgyIRbTMQQ9NSHTUPe4pEG7Fbq9PXghhGN0pt07orPjQpdU/NSNEmYUK
GnfDgpksQl8eA4GXjE7v1JvD5+vjWTQEqAfoi4AXvCh5OnqtVrOOeL9HdjcCKYKuvyh2Wn9B0kb7
mM0IgcF1iwszaJqIM4CSQ5QO+bFzJ1fJuTLZVZy5lpnuJId5+gw4fxdvrpu5CKGR4kPlhntuDA8b
79yM1qih3oE+zQ31BixMvYO4Vr2ZnN4hBlQpq7rzkDT+F5sWqEigR4jKuLBqXQgScmrBphNDYH3A
tt1VyrEp8WjMH9I1VcqFi4mLAcKr8soJasXnI4R8ugElnRSlXNu8lREk5oOFtPevuEMW3BqC62Nb
WjZkVhCdc35/sFifW6tDewR/HRfAmO0b2YBeqW0AP7niIha2I4h1AeCyOPE5GHLOrfTGmEqOVGTg
IDQ3PImQ5BUBL2FLinHltliYPt6eaILMHXX9iw3SOugXYxlLILCZDj74sKUDnMh3VgB0k0DrxR+h
e7ySH1kYHiCbKtJioGoFY6swiVJoSxDetBM3H7V9Uo+Af0lksvNtOOYrOYs1U0LYYs/Q861TJH7T
8rmyI9IikWiWr5G+4qkW9sXZkIRzFssyaAUL2CkNpLHb1re6eNvP+t97DTxSOOcychV4HwoxixzL
jd4oIZ8520Mf711YAg4Xr7XZ8MBRiKh1B28F0wCNHK5FwYw2NGUCcdfULZOX0WzwwH/862OEjn0Q
TeHgAq4o0k1VIWhJzbJPXTMacVLzoNTQ2h3+dT6ev3zg+5AGQVekJZ5W2WjtSDIp8i1ZuYcINKq3
8k1f/DA4xi5ea9tZ2ANnp5bvxZNwPNalBPEzTq3WOE9ZU6HmXxnz5DXm1Lxdn7+FBYIpuAdAPfHw
ERG7QHbG8B8wZdTSzp6s+0lZ6w1cMyGMZjKigVYhTDRg9vsy0yZBWpHSL9cHsnA+zwYi7LRoAoR/
dmDFHiUyw/foqGB80aS1t9KCm4MdoI15jzTQ8MJ1OzaWPBdTBdnYWn8E4SMZnHA7q5EPlDo66NDH
fH1cS/fuiT2Rx2SytSijYYk7sGqhnd1EJdRxqUWoWn8LQzugMd1EZRr8g1WQUPDEMx424ptzBKtr
S+MapAxldoO6UJX9VBVGKv0h1xQXxffr5pYeoAhe/tjje+hkx6tjYbVSDXt0UN2pmYjUGgRSgxDm
ehyN+xx5YgPEe4m/Ypd7bcE/ndkV7kddqagMWEaGUte80aJAr4+T9jTqmw6jncpN2aLjIS6Cvt2Z
a+mGxZ10MmbhXJihlPc0h21UlbBzTBANMelhyuhBMUYyG/lf0pHhtXA2VuGE6MzBxV/ysap7quSk
RunfHNc67BbP4cmo+H4+Wcm5Smjf8J0zOY7PjO5tbHuCHQv8HyrQK8u3aAzCMeAqQP4CpO3nxrIu
o0OrI5XbGVKFwiUaB2vro+C5vjh8SrZlD8Txvmhiosk72dhEyXtomu5AX4dyxf9cMJdCCPJM/FJw
DLJd9kkWjqDJB5ThSzErMq+eGLfMAPdI5TgduPvQiJCGKm6RIo/8vg9BwdQno99qsb2y2KLbQBHH
RACOnBEyNwjJhDBikEeUiSQbfkLeGcnkjlhzY68pz83wZZWC+hKNgIY3nhNEcUVG24B4C/PX0DBL
ZeS+Bt+D3c+HD//ukXprSs4Xygi8rw5Eo9Am59c98trny02lSuujOY/dZ4OgKEnIHmVA4vrblZqE
I+6rzwY+PoPo1UGfjiO6o1DNSpVWsesdUP18Pfz+CYJDcCAwi1/48f/zH/zLhuwIfqE0+Z8/I75P
/ILs9663PR63v45b7/b4fHz+8bxdOQJ8W516MHwqElzICvJfeKQL2w4cF4Yelj3y/G7rBkEQu58/
24hcN3SRcP80BIY3hPholcK+Op98eSzzNJ8w+d6t5wVegEH7ZOWyW1phSLLDsaOmhfqz2ALfaE6e
A2URoxx8e/t86x3egs0L6rwv/soSX+SyP4dzYknwU3JBldCJYOn2cMCyoYh+fb4+xRTFhUFWkING
kLS2RVaCuHRA6BpDl+n24Hmvh+An2WA7uNsVH/iZuLpmRxiIMuRllJawc3h7+/709ETJTJ5QIQfm
EV31/J8nmPb3vrt9/FW5j78eR8L/+TWhxzri/3W8PvLPVtfLLwJ5jGPjyYmc3vlOacDVUABIgp3C
j8vufofp5dABd7t13ZXhf/5l14wJt+hoFWB6q7kxD7ufBF82OJmw5G29FVMXWAW+ZdDdinrTb1SE
4H5k1tKpc1pu6sBPQLDjx547AgwP4/P4r3+ZyxObPIA5uU6pk7K+rTvYBO6H4Df0jeP3Z4w2dWP3
5+Zl87B/2O/9lUW8RAoKgxUukL4e1EhOYRgesCRB8LT55t6tOZXF8346pfr58CyqqFUT8+F5BwhU
wns+bLBTv65tk4vbWVw7YU+acdZwbjcYevWC3YbcrVm4pFrgE2bqOqSTFORqRDSslpSFlE6/V+rW
Iq9D0PteAJRK5X98ukp3y8/ACjR2+fifmBWOf6qFObo5YJbvj5S89u7rc+uPuA4mgNZbf/A8C6eC
4Kbk8Bg0QOFfX8D5gEZ4CF8Qk4C6FafTW7mYHJ65vTiYJx8m3Bd2EY2zqv9eWn6NeofP33Bw+OHh
NyquUX5Y+W/4HT97/PfnYcJxwo/Hj/H182SKAf/nPvjzVSLmVqrDugew7vcZ/v1B/PfA+31786/g
34JfuBH4z9oXXNKLYZ+AMQrkaUhoIo4R5qUsoc+qNyq+AIYRUXz+wEV+IS8Y/Z17w92kdwzWgpqL
mAYpdkgigH2W941eFAu0po20wYbdoZ8a0pugxHRAaZgavpatPcY/M7Nniy8YE7xylxRSEtkaLr+S
3FNCCSTV3IH8xL/NoBvh/w8iNx/jJRj2Zv/gftl92ex8H8P/9ev4A9OyC+Dnbp+Pt9ujd3x+vj1u
e/KLeiP5sQbqEh9iPD7mk4JACnVWVDrOnZCRjnkBRQfgZ0HBCs6rCQ0+/qxo6P+qWdhbGzBtxjva
FNmKk11YEqgcGADrox6F9lbBKYGKtZ5mHYgUBkgmAbkRxJjK+dWYjOQmLRplJYRbNGciRtfxVlJ0
ETPc9KXVDDMQPQPoN2pUtx1fdXji2b9+yC5wiphQlD+AHMK8WmDuFMZFx1gGJykMKWDPVUw0IzLo
uERkpvtQCyLplYZf2yJgxYtqbZjpTupjJvm2uVn5Dn57CLvw7DvEXZgyR+5DfIeZhMRWwyBzAit/
AD2VXoFLFEQkewuOU/HrAkwwIFKTVtLv3Ple+wBhZ7UzUAsTEI6urgCNOtqUAH5ACgPl9UJO/ZyG
fgOZl+vDXtjOZ6MWboRQq3ojGWG0Y5GfVDcNNFCyKJCGrcS+/YMpkGOo2FIaVNiEhW5Dp1cBHUgh
XF5C53tTqX7WgMNz8MI1Kg7+V11MJeqESEfBb5ri5rXT0tJpg7czc+7nDrWZl3lNYHrZBIpNeMUC
4iKSfSSyPhQ1h+tFUw1KOG9SfmX09fqMXQYi/GygjvZfI0JAFzVROCOPm7pyi2or0dFe5ksa7V/z
AcRsJtoUtjSd5ceCoeMrq6px3yGnMQBZIsW7NIuNtYfQ4iE5+SAh0EO78FzFUKJzIwiRyG4Tof3L
9ozw1gJHfnR04l3tBHGPDhDrEBtuo6x9ADdwubIWWl9BXgOgmhBWq12qzxZ693jPtNspbi75mr4z
5YOB9j4jJqXkOaAbHl1Wf+jGbmU9LsKUz/X4Y11YD2nSJ2OqsYVLeRN1d7MVEjX+bk/eOL7IIFRu
grZZGfHyPvtjUphxB/iwoWgwYC18y9IvU3XI9V/Xh7XoAyDt9N85FeLqspZnpeIm5vhNbj7Qk53b
98O8Gay1qunaYPifnzxQ9LxEU3SJ+dOS6a7s3yRHDtRVBNiiIz0Zj+DJnRRyG83ArYCFJgKJk74Z
bdeCUqvV+Jaz4rZ5CHZtRwpuu3SK1ACLAnzN/DCOgCTcmeaeFZu48tLuhiru9cW67FgU9qDgsWvk
fpNegr0CQiKv4a+WaNv5e/ad7spd8gUkFpv0CRvy+98Covk9DZgK6qbARaPVVAhFTa3OmrB0APuq
jvH4ThNk2NdkrJf2x4kNsZOlV1MlR8swtKvTkMhdSlSQPc+Ff30Kl0KbUysXPsRgo1nDSp5pT+qo
+egIlocxBcfbyuFd2omI39EZATISoASEwzs2qd44kQR/Ud3SJsiV+3h67eOe9MbtGG6uD2tx8k6M
CcdYyQyTDQqMjeHom/SYACTTDN+vG1mcuxMjwgkO4QERFcKIhWtPHQ65GWRoFJPDNVe7OBoN7TgG
2FCA4hS2m90VdJ5aXOEV2CjKDzaMZDJyz1D8plZ9O3rMNNlTSjwRCrdvvEm7j9h70698xuJw/3zF
Z57zxGGhO36IpQpfUSQAlLwz40bLHkPJ+/tJRUIW7wnAdJGMF7aJ4+AON1OU7br5Tk89x76TmGev
IQ+XZhThNXCHqLCjFV6YUbMaonYElxRa7xgKkd9aKSNjslJKuEyxwU2gkwrIPK7JdvFynIDNk8G4
gcKRLCVun9WZTrSshKCCWo8lgf+H7AxqG41PU7s/2PZcgehunMoDM60WFOF2Ztc/Rwm5UjIkJXVU
d06i3rNppv6U28xISBNSpvqlUch10E5TWfm6nXfdfhg0Jm+y3GCITBq90j1dK+haI+7SlgDfN5ij
NKT2Lmi5MpAFSX3cZW6tqF4R+rlCmG6TflqBqyyFWmisQYyDHkJE+sK9UlWKVksWJrJuKHiUE+tX
VhlruhCLRsBp73CucMADhZ0X9nokocUPj56yvY1pRGgRrfjAxflybJn38gHlJvZsmEPU1/MMyFkM
agKPsbdGQdcnA2CF1dPKQVoaDtrLAe3g7ezgFTyPL0LUHeoJygigvcuJXR6HbAXYs2gAGTsFZB5A
EolRPyRADSnLMBhwyeNy2iXdx3VXsGzAUIFTkeELRBSbQxNGHR0otnm0fjiZ7NpNtNbvf1nOwBkF
iTUKvDZe3YABnk9T2ah53STogWVtuFFi31Hxos09yfQ045kmo1dL+8LmInYrSYXl0f0xzP/8xJ0O
FYWcRAbUnFUX78BDuDpVV47N0nY7HZtwQSltZuegIwc4QP0GPLSnMV+yjWAyVm5b7i3FsA9sIgDK
mRbA6eJOAOu5ZaMpHEAVSwndqP5gnONwfGmG5MFh0LDQi2wvo/3g+v5YHB7Am2hZRUPLRf90jvJj
Fw4wOw3oUFJqzUsT63tWQqpC+nHd1PI2wT2BBDVnTRGLUjKSxYXJMQBDpblmuLfK+8lEu+pO1X6W
9dYwjpL6ZA3b62b5Gb2YWI6cQjla1vF+P98jelwCVcSxjmYTPajgHy5+1GzT2ulGH4PrphZvRIix
fJLX6wA9npuqI10FCzlcuVQ7d2OsugqQgR1N/etmltYMif7/mREi9qzV+7IDsbI7hdpAtBEqeZAo
RuPNfdJnK7O3Zku45PUUXekQbceaFd/s7LZID1l11xev10d0AcHhjwHcTGibBroJCraCGZrHU6vh
NnbxGPnZA/Vfyz2xsgipYp3kUfOQFplXovm9WetrXnQhpmnBvSMribbw8zUr9SGyahXbo+7wvGuV
BvzTqyxla0aEdz7w7gV2BoygA/B5DOUnCyLq16dwcZvjrgIDMI8vRU5rabIcNku4SSap/1nTeFeN
E6ivnK09vtXNGoCYb7GLQ3ViTRiQJuORD3atzO2VGYG03PtIuRI6vgOp+BIOzp1ivFwf3yXMg18y
6DfAKqHnAAiM84UyLE3KYwkmy6g6jqDPUKr4qwXFdmjqkDHMPKNQvK6oKhJqr5ozeWqve71d+Vaz
xvm/PNd/PkU4gCG4kbKsxrXjGKNbSzh6d13t9yDAyNZojRcm2pLRNwJuBGiCX1CVt40613mInUOZ
7VXtJrG8yAClB1if7DdpjfB2zZqwrHFvd8OcA8do4r1szl9r+sqoijoNnkzOjbkmYbbgXICeAtQC
EBLQzYhwxrZqjFkde1zfhrVB3q+XfhjdF3uuVy65hbvVQhSHBwQnCrrg8NQZpMybfAD+yXgtmidz
RNfyTaGDvrMlDaS1+mqlMLo0jxDTUiGuh5HhXj3fq3bey84c4qbL5gdWu1HBblV/1yf+0LV/iXyH
57T4/tBAUorGb7HjU5bMhsoV7py2t28Z4grC+hR7BMw5YWo9mPrftnz8Nojuck1D/gbtCudjm2nJ
wlSCq05GddNLNulQ0hhxzq6f96W9gQ6W/5r5rPCehHZNq1ZGx82EeBYl7QF0UmGlBkwNrttZikqg
Qg8ImQGsKbS6hAugdoy+q2YuAVY1quuA5RqtloVa306ZfpRYGx/teNI+wtoEnU4BsGuUmH0Eckuz
qN2Vb1nIB6Ms66AciLXkuKrzuZUiW807W8G3JPsKfOnGCD71kMfu6MUNJBkODfUUp36/bndxu56Y
5dfXyVxHIOxjQ6QifmfSsS5xECPzuYzsjeTMD7WVkLEoV47k574UbpCzoQpxtRGyUGsLLXMr9Ser
fDZsVH1Hnb3l7Cz93um+9nlQg5zaSHZjuPKEXPIHp9MsLDk4UBUL6oW4jtlbLL+hPT6bQQLV3xjA
/DotideSrGsTLPjVuQ3ruDRhsJwk0mcv9fw1h8yFWibumL8p0fb6ei7cTxaeYyYAi+gnQv/N+Xr2
YzeXlHMidzJ4ktttZ4EP1XblgZJxrclneSGRUwB/OdjFwfx7biylLBykGGPTzEpGbjwGAGScYr/L
dXBvK+GHTpPKT0FCcIMuvEcJsobeaHWmiwSwg0s8WmO7Wxo9QAY6ByVCUlTM9DljVSdGoWNnhbZv
GeiOTjZJG9hSuqnzeXN9qlW+dOI+PrEmZvTKRKNdBRZ1sH7e9wrEJeoGOifdEc7LjUrdG/PEKxr1
UEdBpXiqa+3M+KlK9nDSUv5FhkjmA/MkT0lWPmwh5LRwNaAOjvQZ+F1FV6K1oBwyMQsMddG0ru5x
Neyuj33JRXOeEQB9oaOCjoTzlYc+cgStPe6t0thKvQm8oA2ZLNCeN3MdBzFzuse/twjwLUCN0AZD
SkbYa0ONipldhLAYN8l9T/+PtCvbcRxXll8kQLvEV0mW7SpXde3bi9DVi6idWkgtX39ChXOnbVrX
Qs8BZh4GA1SaVDKZzIyMaFEnU6fsphZaEkRx13qX7c0rkD8uXiOArgAjAZVhaRPx+LAUIJnxKMfM
f8T3EzyW/rpsY/ECOjYiRV9zmFq1pzAiFEK8gYGoI1Y2uWUEXdoDvT5sJ1RSypTcDw5JoM30c+UH
LN06x99x/s5H4R+8GZmOfB7J/Dz5VX8X/NmeNr0GsMTroN8UFA+J98s2F70TgQkeiENqymohmJSL
s7SB6+Q99ICK9tBHa8zti94J6CsKqyhLAdB7uiot0rIJwBoQw7cHNb92IJahb0l/f3khi8EGxS+Q
z2kQqHCkM+BWRlPb1Rxs4vIuM5SrmtaPowvaEc5vadwEl80t7puDrBJjlaBulLHuahf3XUEQbWaO
0evWrsjBntyXy0aWvB7H+h8jkj+wFE90KmDEsgZQ29aekmZBrX+/bGXpzY/pSdB3Au/g6HCE0w+U
I5kt08yG35vFfdNrfkrYPunpTgF9wZSZO87IdW/9csi/yrNQbsXU5owlN2SuGOg1UBIlBA8PjlOW
vGvgDKeNHgoaQba02BbWR18NW6C0V6LyOeYU+ltfNmd6VOSd81k8OmvawMG0ZU1z6kF2VQku/MEJ
4uTFGPWdothXLXtqYnqN1kpATAgdYhraH0G/lyJB6ZxnM6U7k4MlQ/tx+Wt8sXmdhLqvH4ZStzbX
cNEhOP1hTZyKCnBmDARVShsoPM6uqFWpup+DPOBFj9Tp3SU52YPdtofA5JgFDe/Qn2aAUPhxN0Ve
PWX0tWyYeldGehoF0Gi1ZnLvjINgox+6q3IAg7VXjbYRODplP3kq4j7QlWL4mZep+YtGTRK25gAp
lD6x9U8Q2lv7sh+z6zF2+eBHcTM9cNJoT6xTs/eorWdgHG3Dukja4qCUnNxkqqhWavRnyRt2RkP1
EDOKCFjngDJANkXRwk+dUUm2ij3pG3R794w1zd4wqiIYXUyIjagkrbwizw77rMY8ayrNXFtoqki+
MrjUSacpBikre4pKlBmMNfDh2UmXLEj3aQ+VmDEtaIGCJUPWe7D5VbRG73gWIWcbJvrVKLJhNlse
8ixG4NlJn2IV2kEdAi7ehRMa2X7sV8LWl4tKLgxLaKJBDkUFk5wUULiROvEYITvg0D/rghmq7oQI
X57+mOwnn91DGmnlJXFelfpa3R+bs/McnWe31Dth483oD6H5O7vuN24wbatDflvvoQoRWvu1T3b2
dpEMzv//yGBudY3tCBhUt/FD8Zwcsv2wAd3Lw+V4sOD0x3spp7UWS6jdN3NSEjoh1Ibb0MJyxEoa
sGZF8r+0pKjNz/nV8AP8OPfRAfKcSvDXwkCnW/aVwh9tmRvrEbR4YSU9RBAgpK9tIDZJ6Kx0is4v
NMmOnC1qZod2G+yY91oodt11s0FceMu3a0nH4rH94+hfLGBHC5p0p0B+AEO2upuiIG72kf58+fuf
Z6VIeNE1nNnbEPVwhE/9DB0GoXZTgjJr/s4gJoxUphKb0X6InNAl20z/7ahh5axUs86Sti+r82Ny
Pr9Ent6xKI9sI88LPyIC0pidl0S7GpdAtXZuZ8+SYgWWB7XYWaoOdSzJ87Sc562OmTK/tfmmMmrA
Dl8r9Q23vudE2sYVkLhuFb4FwiGIp1W1vIUviKRnJulz0CwCRuN0d5kZpcSskGKl3O83LCx31cEA
19F1tJvrrVuLeeVWe4xfL3/Vhe09MSvVIfK000zK5sdqezUJXzF+AieRR2zl2XSOKZuvTOhwEXTW
cHfJXWcUfUWHbhgK5KIpQVJGqbhBegCSBI5yhGpygJHtjA2fbmny23LomeGpIkOZYMjaq94Zmocc
NMsxZMqm4rkBQeFdnSv8kxFlWrndz+sX+K2oY2KkHnLTIGeSPkVSMGtGn+S+fs9fiFdsDN2jgbqf
rqqwEp761O4uf4SFa/3EoPQRrAoSbRjtx+a09wb085w17Yalr3y8IikOdWbcuQqSNV8zNlBdrjCd
HCWqn/4tWwje/XiF2FCrd1B3PhsmUWpR80RDfuLa6H7w7LY0UEsXzQoEaGG/8DxGmj6L1oFOTbrW
y0KApQljEj53+yBRkHgO/uUvspSiYLJ35teYZz/lR1wPgcFeNFiIPgJivNHLjeC61wKX32jGiq2F
j4NayYya0tDNQt3+9OQL1WS5AG86ikOeKD+a4VtXbdJszasXl3RkZt7UoytC9H0NLSzkQuOWPEIB
RferB+c6/xbdgWD3dxl7WeLpYYrbtl4JrecVMVyDLvqpgObgbQ92sFPTppF1UZZhhdqj9WhemRtl
k36a95/WLeqPUKXbu6XHdwDU+Mne8MdduoWa2+UPuuAyJz9BOmKZRRLdHedNLt9t9yadVv7+0u14
YkD6iqmaCCshMGD9MBKvi7zEE54ZJGA8w2z9p72CCV56Np7Ykz4nTXIqUgoPpXt+U2FsDlrF09bk
3nRVetq9sh1fMc7vvxhP3UqKtpjhHn/O+So78iRFyY3c1LHU5g2aqvvEDcQriK8rT5sdye8esvDv
A+TJYucjdGSRAhEqwBSHuDKUYJDbxMNfN/0lF5VCSqqmdlfMayr1bG8LcDWwlTUsH/M/h2DOfI/W
UDOa19OINdRlHBID6m/Dq40JSC287OmLdqDXPk/0abOa9akdS6CADpUMTLhp95OFFrz7vTNuSUpX
wtZCwgKN+z92JAe0SdaORMNLMQZLiLhp+1eFr3naHBiknOzEhuRpmR3pLfpQEMaIH9IIXbhiU6L5
FPe7brrRm/uk3Kvk+/gvrssTs5K7oXxOlMSdg4Xpc4x98Fr1WXVtrH2qtS2UnY5WGODmWF7kPlrs
WwPUrJEFl91hzYbkdmM1RYXewUYTP0zuroLmpLk6N70YXTHMCcIHPN3PipAcc5xgM8eG1VBY5lZA
IEwFxfS89B31eRw9M3lp8scWStsRGKZ5/qSsZR6LTy1MDQAvBPoJyE1Lbl+1ddGKCm7P69Bw7kUR
lhqkc2sogxFo5vRgsznk1cpZWy4wYLgUk0JfHH3SF+wsajfjXDZsgiGI9uxzwkh87RFMMsffLJ/d
qA+DghH5y990KUOd+9P/mJU+aqoYKXYBMm/21sG7cghjz2uuB5+/1Y/19dozdimiHFuTHn4gcpzG
RnNQoSx2zLzBTKrbAve/ubyo+TfLZ/3Iiky92ZDChbo1rFjNW8lAG3njCgZZYMTJMCreLhtbTEmO
rUkpiabUw1TrsAYJ8u0QxPhk6TfnFilQ6hUQ6PD0txj1IvrwaFw1oIIN+sYXa+REi5f48a+QspJq
4KwDQT+6V98+Ei+7mXZQX3okm1/6vg0jDNowdA6vr9fmJJdiAk4r6MIAmoaMteS1E9OyylWRCuZN
0DQNysi+ozxc3uH/x0f/GJF8tJ8A+m5GrK0LRWDt+C1qit+LQx9EEAbvd3wtw1vMwI5XJbkpb0DX
02owqG+1PIy2w1N8X70N0I2xPdVbK2Iu7iEw+pCQQcMAiKzTaxbjBCap53wvKZE8H7p01689c5ZN
/FPtlSGQVd+kfTIgpJlF6gGwPWSx14qVa3whdJ+UPSQXFFmmKm6CskeVDF7p3mpr2f9C9ED5dW6+
64AOg/budKNyR7Rd76KA0yIIZ8rvAW03evPXRJV4ep6YkdbRUaNLGgIzRnyI04OgOytaifaLW3W0
EumKmXTFreOsKPxBn4K+VT0WP10+NAtf/GQR8y84yhGVJm5Qj8Ai0HcBvu43FZ1nsRWOxaWTaUNz
DcRVQIWCNXD+FUdWJiCdMXEEK2lsggYNtQCaQ5bZK8tblGZgb7CCqd2w6nngz9HahOZ8DKU4f2J9
9pcj65liiBTDhchPRbptifMIQYjr0Sm92LA30BELUgCaSrfdXt7aOaZdMivFvCRPY7y+sejJeGij
Q27dDNq70XwY08qBOv+GKBx8ySKZQN+dMTIWbV/brQplAAhKUS/j9W1hK9B5piuF0fN9BI4DmDDT
gOQKNMMlb7Q6XnflaGPGsMTcNr9hkDarwaxm7NUOg7V3Zb/SfFpaGCbe56EAcI+CU/f0ww2ssDEA
7mR+Dji79pzRB6V9v/yRVkzIED+L2yWJKphgFt825pvB7aBdG+FZeL+C4xj0GlDjQjPtjBAq0kiH
JxJGkibNK367zC9+E49dt4bXNZ7zodzYj1lQ7S4v7Tx4nBqV3H5UmNP3A4zWDmYnIcfdr0XyhZwG
JqC0CZcAyAnl8tMPVHddTJM6golN+STC3C/CdFvuySHft4Dr+pAbLV+cLfPve48c0i05rI2vn8f6
018gBeHCVOxSTfALHAF95b2lb4QhcGe9XN7LBTNgqpkLjC6aiAhlpwvF8QI7AU+wQP5skWtjCB31
CUIyl618wcJOQwao0uAhUDWAvhlmsk7NqK1O6iIvkJF6xUP2ogkv3qSaj7KOl1wl2wgKZEbspzdi
E4fFI1nNDhdOw4l96cDV+aS3BL0Pn19NoRbkofmu3Y6h7uXP7s1PZ/v958qC55BxYcFyiw/AqaZI
XRiMPizN61U/exHXmkc21g0fQu03YJ/eisnzsIyGBzifkUghaIK143SPU3VUGgvwYTyglMf0rr4V
jwC02weboXw2bcmH5gNpEvmGtdrQXPIiSCKBJhPM+Kj0ztt/dBFZymhrWRTDi/Io96Y6eshVfttP
SrvX1EhZOf9LCz22Nv+aI2uZY6WTYmBwsEzqzDPZ96HMn/T43Z303dj9vrytC54DSmBMfuCCsDAR
Ke9qymgE+lo0FKrYH9Tvw8g9mz1eNrIQ0dz5CGogYIQ4jVwjH7ShqxzCkZfOaCgPzUHnHimgu+KV
S2ZsA9kKGImALz/7TIlbpI7S44mNQn+ChMX9+1TeReECsCOQI2JUUUYJJCRRCj0D0GUq20B3XjBc
7P212ht43/FSAI/LLF2B/5CCs+nkUOBy0WhT3HvRhjkPAOe7/EEWMgIIPYHgEZyVCw3akZJCq0UH
WEoUZtMbbXovxdQP2rRaiNkxNBeKteP7pbMghQzcOOiSYFgLq5L7enRSCkJjzIcYQKdPnmpGo19E
anQ3GA783KGopGEzmek7ruAB6Wnv1ZoL7ApKXwqAZCi6tpA+U1DxT6a23/e9Yr4UUYvXSKIKtkuZ
kU2BMJBQqYXd0S3vc2g9CSRXh7bp+QHtxua21saYXzMnMe/sycbNM41TqHcjvbb1Qv3QxwqjEInb
7jkOYuJrGiY4PXMytRqDLZnSQPWM2L8LtRrCyXTHz0QZLYicRsUjVdrslWGQ/NoE+WFowcY9c2P7
mpWlToNiIOLKzG37TQDnt9Wzkc7zFn03BlqslLfgMxfBpOazZkmjQppJz4E81mOt2nMb/uY1PSig
+rLppmtg0/rojiiq8S0diCv8nhjg6R1KWu0di44vjDc0dBJBYq/SOgxB9Jm9pYkxJWhWVwwE/XwE
QBT038q3HOxhb1k9Qau1axPgxhyrBk2RkgYOG/vmSpjgE0M5mpbXJcuqK3xGI94YJBt/6bVeFd7U
Z8VTwnWG8hkk+cKybZPfbVfneqg4TYkikOOA6J7XIAvSzb57r6ZYUE9QN/3U4sbYYKjcHDwg2oyD
SVtU1TtwTK844HwFy+4H45A6dWb9VhlKlCBXpUpd4c1fTL45oGyjdNspVbdJx3xMsf5KlbU6w5mi
2nySMVyDVh0SfAQM6d4QRV3TuEPcUx5RoCoPb5XvTF5xY4Ls9FZcJ779aN1mmzrgd8Un3bhIw/TY
+1sa+69fgSF0kNOC6BgDtKf3iRXFjlkWOOxGFtoQWebDav6xcEG6YGL5x4R0ZRl9NFRuBxMkCi3u
6Tej/4k6suPpd6QMjPt6nxwaj+zXkEZLEf/YrpTesTJ3qq6H3RgidUqOWb5yfzlSrlmQMrtu1KDv
8xUpcb7a5HbQ7y8bWHhjgxnaQF4BAPAXMP3083R4f1QQOELuWOnKhyMc572kMYqItVui60OmNg+L
iIAPwSxsMXkdjRI9AOy6+NnERgr/TdprlvRibfJtaenH16mUGoC8f+hjE9dpz58VpLQ2XWnOL3nN
sYH5BxwlOm7TZZVeD+gF9PpLppfbmkB9fGRXpf4vLB1fqdJrgxQlIkoKGGY7fGSWHaScBU3ZA8Sy
RlW4lE8dW5I2Ta14xXoFl3c77rTmqsVTe02ofSE/xMCEiXwUYxPW2dh9IkZdIJohG83KsLCqsNja
j2AX35iRtr3snGumpH0bKrXIRgW174glOyjQlzlgiV3QqTf0r+eO5qznaFXSxg2aE4ssQqMCI4JB
ZyfBaAZ59WKqdVAqtn95XUuXASRXjFnqEjUYGUhRx5XgLcEW9sxP2sRj1DfMHWkMzxr2fbrmFEuO
fmxOcvRWy8yxVGBuLNDtF8Go/o6EJ/KXy6taaBK4kCVEYwtq9qYNZaHTAyWI1dCeCTwDN3zj7Mjj
L/SQf+DKadBrgpTAVt3112TH3noSrGFLlxwfST7KtlD5Pgf02HzgVm7BNlU6D9huFzgRbao2l5e4
YkV+d46g0LGTETdqSkvPpRhRfbB5eNnG0tc6WolcHCkmTCBlI1ZiMcve9uBvQ4NQuwGvqoa2cpQ+
/m/mpDOWjGadtznMGcaPHBoQyJBZNHg0fb1s56tYK2dAx+uSTlhaF66mzK+w5Dt5UlFr9KYDima4
PA/OBg0t8K7cumHyuWJ2RpqfmUXagTQI6Cjwqp46ZYMQ0kQcszQCN2hhYe79geuP2ogybhJA1K4b
15ENS+d7Bkhac6UAk9TSUgnVaB/PkzVGVTKoWxrXFeePvGfFBopRAk1mhaygppZCJbSgoTmJ2As5
QGmZyIR7w5nnQpXe5CDGvLMyDu7WpFT3zK3foICw1ktftDhj+9FKNwlyiNONhQCv2dYZrppqzB3g
AbRk2mV9on3oWaRQvzbrKN8WGElZ6Qos5AWYP8GEJNh/8ayQ0b34xGVmgzTBL6m1r/iNA3HNyz6z
cMoh1gvwMGQO0KeTR+cUAK5dkwM/rGZZsbEmlQZ2AxGhKHF+XbZ0todgTwKCFvWPmUoA/5zuIQbk
Rq0nvPQhEejpw07jPxvz3kp+2GvktmdRZbaESquF9y+mh+SvxVPeOVolIDkMCtVU7QIj2dmomK3p
OJ65vmRHWlHaEo6KKFZkOHmIZ9cPF5O1IEILs5y8W5F5xbI1wOCayflzHuVxTtmjYjXBJB4ZIEQL
KH1ox9gXFTgTflCxxqCxvJPACYIICPKr8kkbMbmZ6w5U7NIY3RJxyyAFJJJ7K/vrRGveSgueMZd6
0PKRCjGQjx91tYChNn+1ihslDxvUFkqyqfvEu+yHi1t4ZEq6BEo2EGcwYGpUQNSke3rBN3l+FYNz
KMsO1l9j2KSVSaHDSAyqkmbeQtDWZTS6jvt+d3lF58mIZENyxCIhRWLyeffGj9J+GDWQrwyeO151
6VUzhVkPGicvh7xxulOs0beT55482N0dGlVAzz+t/Jp5A09uIenXSD6a6ryqVBO/phGgaLw2LeGh
IukJ4MSZfU2ixtPVEGORtNxwupJQnOMNZuOoSWL2EVPuaKaeHhDFrrPYbccS6C39PUMaAfrBWwVE
EK6WbUdSgTcSqKDmoyQ5ctGoWPsU898/WzwIHVHf1aFyJF+HeC2MfaLM5JSajbEzQJNBt1jyZ9VG
h6IwdgpwXqKIvpt282aqKxfjeRMNq3c1FO3nq0o/07qsDC7s3MXqRf/al3YQ6aDIdAvfiuuXiOh7
p3I2bMjgGsMmtrK3vi83kd0dmqIqV47ZUug4/inSMbMiyxjyDhsBvloW041Kfhn0Rq3jf7Pjx4ak
A9aB9w1PchiqHebn2YvhbnWVeW31ZKO2qeCpK1ovZXcG7VaWeA5v+9ru+eoEX7eKksKpsxFQ1Yqa
YLvnmojBNpb901DvwRWfDtYmS7/R8bbQN5eP1/K+/rE5h7ejG2AycbJ4DZugqpjqjQ7Skzyw06Lf
NnkyvAvC+ofLFpcubiz0v6s8o7wTU8NzE0kk6M65X0U1bm7npkweC1L6KOkGl62dk59/bSoGECFA
gaxH1pDKQbhScVXF36auRydfVe8tE+KWzpNrf6a9n1ejl5hvVfSN/zXR0alpeeq3HRQrcyGL7Xf1
EIJupOA8KAzUwLO1GHmWqc+WABNwZ71QJAmS5zjNoEyNDktF9UKjsBl9Pb5BpRlcxFfAtTmTP60R
7C2GxmObkuc405SXWgWbdgYIhBPmqukr0cFNQ8W6tuvtFG1sJUjW1LvPq27SWqWOaSJcheca7GJE
xG/IvuluLRuB0O/6Q8GBHO+CKA/xPMEwR2SvzQAsnhe8xdCjAnErCFBOz4vWpmNGCrOE3zTPvE9B
Yg3hG/qSK2t3z/yX5NDvHlmaf8nRyewGkatDD0sVWM4YpYEhkpApf01jje2cU3YQBs+iIGcANE0M
4HHRsCAFJXYnTWPPjRFzStP8yDS+MtKwtH2ocUDTG/T/qik7qls3haaoSukreumDC8gjHQX7fn0f
mWvSfUv7d2xK8k8DXZjYQHsGZY2iCTIDVKu5m9oBs9dIPM/f5/MeHq1KckkHxAJCFDBVldet/qGT
Oxt0ifWBsh/oaxnTh6q9aNFOF69V9qANAOpvL0e5pZh69APk4ko5AI6E6S+kCdXPorhS3YNmpr6r
3xXJWjd/3jbZLY9NSRmRqCOzJXFc+e3k/M7oS1ZiuN8WAUMTxmU0FGa+srgli9jgf65FaXfplLBC
zBeGZf5MleuMeUpUeXTwDfUmzdcO+JLb/LGGeHp67CKtHlOd4f53yuoqqdodayMknL8uf7AlK2Qm
/zUxjGoBd3JqRUltJWtFBOcsrT1p+TNnNKhFtLlsZvG4HZmRsibDpXmimTCDLPK6q8xwgolksHZN
sSZXvfCVMH6P2UCAF20bYynSipL8vy7okL7d5JFJgl4tGowkOHdpp6iB1QzUA1C0Wckn5teI5JAW
RJTAca3Dvi2TypSM27SAyiy6MInyYPDCATGqK1accHYy2YqJIhHQKw7KJ4bkhFNtRFVh4GFc1C/Q
TFKTwzh5bfThktHD5LKnrQGDz1uQ4JxAnRsQf/DmziRbpxtaVwIkf7Va+YnLPANDdDkXHp8cf+Qo
xfXWjujTJtFNL7OUvcE1z3HijdUl224CuXnc3yYlcNh2v5ls50mtNM91821OsjAlWcBK4mcg0r7s
bgs+YOMbGPBqJCHIR05/8pShnpArGnR5HKTJuVe7Gzva1Pw9NmroCaxYW8qX0Q0GCQ84a3TMcErf
pHFRUNBnc06BuZrPHvPcaEfZ1r0z7bR+0/OtYvmXV7gQaBGHHJCAormHOUfpdWBVrmvmk1n5YGQI
khhNPmdTxbeNe6jNZGV9C4cXDkBwTYLNaEbfnO7mOPR5PTAsD135gEXIV1MvT38W3f3lNS18NQvD
8Og6YGwbM8/zmo8SDUeUSpIJrGnotpaOWh3dx/2TnuGF2e0cRPr/zdz8c47MVVozqc68hUP8XBHq
aeQ2Fd9o9Fz2wiv+zaMKq8NQ+tzagFqitIsFq5OhVe3KB+lM7noNStlppgWt/pK4Xmvtp+qmilZe
cktfzsFnwxnAUQBt7ekSY51bA837yhdN0IHssMx/leNTrzYrW7ngjSAz+GNHCu9xQaBAoiEoWe5O
gKnV9izFRO/Gz9kqCmj2bDkA4p4Cr5YOEBA6b6drGuMBYggJbDna3WDeKYOvoxwBbT/eCc8ioaMF
FQsbALdSY+uKX5edZumswzlhGmzA+EcWzCtsJ7WLcfhy0k79kdUfjhXqYseIr1oAsvBtPqycizla
na34yKTkqLSLhrK18RVtCEpME3ksjLUBmsUPeGRCimDUNsbeEjCh1PRQW02oxHUomuTGyvJXQccV
dPfSm+14F2XstW7nLXM77KJT9z8b+s3JVei0xd9QUbyC0PWjErshQdm3M99ady2zWnqKn1iXjgWp
SDcygtXSdp/VmzoF4xN7UPjPKH5x6aFij9AFbIwnZq68OpbejCeWpYOSKLpeji4sN3UaKA36Zx09
WHb6rbGr55bl4dg/jAbdKrEAE/7jaAAInK+E89XNl+6OzLDHqmfY/Kz+mUf3vO6DjvhF+k3Ufi72
5YTX+mu7BnxcjEVzVxmhCCAqOXEZx1gdShNWqRaU3aPT3kV9mJYrSdjSHQIGpv+zYkpZc5ZGvFIs
WLFMZEgcuUo4aTvd+tBn9NvT5WCwkIuhbATllJnEBeMX0qlJnLE0NTB++cR9Vspsa7OXkSiPjQoe
zso+pBbQ09aaAMmKUbmYg8kkTek7GBUVKHGeIVaXouRAod+hHpw48exyxV/mgCqFH4y4ohEKtjzw
kMlPBAxZkVhvkP9hxpt1uqc3+xHYu8tbueAdJ0akg2EVdhF14HX3p+GuQx0HTJeQPsH2rdxUa4uR
fD9RXK1y2GzH/QRmFZ0FdFjXeDsXoinST0yuoIqBAWXZ1csak4gZWnU+Oqtm/kKqjTttIGyKcu3a
x1nct6NMV1oP0TEAUakwxaJvk/hV949O/Gh1fzv+A9w1iHTw8QGxmRHsp3eu29JKj1ykSlVBvSrb
E+2ZVm/uMHhW92MC+hIx4+/9Aak7AD244gE5lI7WWNs5lFtgEYhbT+kiaAnEBw1sU3r+19CaeXF/
TMk1C/QcMqvOZlMgtAcD0E7RX8GR6E2Vu9bHWPpaIEoHSg9ASvQEpQy3BRUYG2Kr8seuyX+WUVx9
ukxT3nq9ZY+to0fWZqzyGLSTND/k0+Qc7BGU3FtNI3SfcaeqPHdIzO4O6GqNb5KJ1iJQjUKsZBwL
URSNbOhFz6NeaDdJu8+sYWj56FTIqSCqpYd2e2eBjCjHTKhRUa9v3i9/7aUDA9QDoAA6slQ07E/9
K7Y5E6yFPdrVXlYBGfw+IIG01Ts3oSvhbHFtaPuiaY9K/FlzQzGbihvz2qa60UAwS8eN7rCbJmaY
s5zYbZZXyQ6LX4E8LD2joUmJFt4s9Xn+YqO5UScoajKMnNvRiwvZiAcnNrXHKRl0zTdE3r33tpHt
dLOwftcWJ9/JQMWmFSAW9Ab0fPYAUVtveLDEowf+EPfBTTMr2yqV2feBXQtKN42ws1eLQm6tsI02
SJVG+x1PBuodmhZrq6n4QrUfDM+YaYPeFtSjZEB0xMCj0mcAP7PqXTdvdAIVDPue6fe6PgR0uGrN
DVqSl11l4fOd2JyP2NGrzXSmRphuy3wlR9Mzn4Ji/D7XVa089zrAdzu08y9bXOo+npiUTu0w9vHg
mLPJZqOClcvcgsd77sFqzo5pIIljexLfoM7U1WHJ7hl5ufwDlpcMMjOoJCFmyGkGLltwNuUcLIvq
DauCtntwO/TlwJGM3gOc4bK1pRwVy/3HnJxgZBgZYpGGr5qqwDTqu4rcjmLPa1/BdNosABDZLwzM
f2jy2D+HZk3DbemFdWJfumygqQp2hhjLjad9Cvno5BWc1LHqj8kzNXaD9cbidGXNC1nBiUkp/kCz
G02JeYd1/Z6KXyp0C/nvy9u6kLadmJAuaiZEPg0qdpVCZLgCPkPVQgvtVVLsiilo5i+7uWxxIaiC
/QpUIQYY0kCHJ+2j0mukn4wJZMbkanQhCep6pPlMoq2z+s2WTOH9D4ETE1Sr6EGcHkrSFBjFiYGE
HZSPqgwsiPG4GZjsCm+Y1iA1C3coJn8w24S8SiNnNQ2zA5sOiHqgg1ugi1kekJtu0vSHqHeXt2/J
DzFVgrcEYtuMLJaOvSZUOxK5xnyTW8Avl47Jc8/MTRr0bVdN3tiqOvUgs14ebMXt+qBIMS4U1PFQ
rGDPl9xTA3ktBAogdXk2gipiGrnlmMJ3agz5xOB3xQB95DorufHCV4QmhgbdBoy7anD506+omqrb
aVPG0Ej1cjAqq/ojGqck+zTWGESXDgMIMgwVk2Mo0cv8OaLElJEJ6kPfBfNl+cLG1FPbKxDrFcqw
LSq6x8W38jVnb5deMTPlHVg9CYQbUbo5XZyrNA2rtQrXr/pbzbZIaT2NJx5m9MWQhRl5r6qX2HhJ
yzVa1sVd/WPYkV6kA+OZ2hkwbCrCrznIDpQgJXdW9F3PhVf3YRJdkXprTbuE+K151zhvSfw+Vbft
KpOPeXkP5IgwdGMhuI2foiiNb8F5ew1AIqjQqt9Tp/WNZqcXh3gKytGLFWCX/agc/kWkxUvZxLgK
LrOzyQPHiIzYNGr8aZdsUusbpeBLqd5XPvZSYgJc30zj6iAHkdkDdKfTi8iGFYFuRB/m+veo2Lqz
IzdhOl41qfBth68s7byuMgteaH/kGuZjfJSaVJBOVvICLC2xUoRmuXWm9zi6Ncdt18Yb3tzr6pNr
/IZG+OXVnn1VyewcMI/Mtk1nuIUBMK2VVqGCmqc9/G3KPFsA7gpSCWBVBRj61EITa7HRtpgvmuGF
hrbRxHOqbE1lx7PUz5O1abOzCA9zaDVgeheHFfgj6eKyJtDOuxRwb0074A7z08702/SjUpKVoLC0
c8eGpGu/ZVYZtw5mcU1WPvKpfDJW37FnoXteC0jtHfQiZ7EBKaYmZpQbrgCmm3ZvLgRWa1BlrITt
s/RQMjGv8uj7W2qX18WXnFD/DNUMJwElo2n5PAbc565eg70sfpyjBUlOTjKi1kmEjzNmVxqQkIrD
vN7FC2UNSrBmSHLrQQHgUmTYuTS60txnkd807YND95cPz9L3gW4qZufmSGHKSOAhndzJnmeG4twF
I6ryzliNMaXy/rKZJU+boSbgkNXxr1xDi6hqTaaD0OBmqXmtRhr34k5Lny9bOX+pwBUARCdofZsg
vJdBQWqXOiXwspjP4MoHr42trhieAvLd0cq8fqCHvkUMdIN6bELC402MI+Wy2M+5+2+CIQbEDbRI
kLScUeQZzO4xZYQXQzN1plcmYvAyTI02ZgUJhsrvFQISKJDXscRr08mvJnvlF8xB6eTC/9qLPz9A
OhY2qfPCmUdhbMiHlDzMnOsSPCWQX48LdQMsL8SoVk7iksser1k6G1bU430fA71EmiFMus822Va9
EUzd58p3ngPTpbVJZ8MqyZg4GtY2WpC0KMFTynoQWTjNVQwOeA9PyMDpPo0p285I2FRHnmOsAWEX
r7vj1Ur5sZkJ3e3nDW4xkpbrW7MvPNP9NVk/avtzpDfdf0j7kuW4dWDZL2IEB3DaglNP6tZsyRuG
LVmc55lf/5J6ca+70YxG+FwvzuZEqLrAAlCoysoErDIhXtNxmkdr5x1qRChMgeUXKAhmlQ1lChMo
oeNIleJNoJvULMDcHz+1hh0DSdnbtxf7Kn/7jqO/5pi1rgqoswhQP7aCcP6RT5XTE21XdmgnLCKH
kvl129xqDKnIWxa6aczzshdGG8UmyhsQi+wMe6rQyzzOohdPvGRw1S2MS4KQZEF1s8l+GM1FRyLY
qbKnZVP0lTdKgW1UdwZPo23VlAkqJ6ByRMAHmPu8rLNQq+MKR4EoWWKwUQQ7K9zJ/xUpnALrWmgs
4+mqKqPTjpzl8iqMJmNsO0hyW1LrtKqtSQ99chK1Ab3iQ9Nydvva1XFubPkxZ/euFCXAf+swlvdN
7vWxJFLMHLVbuVNaTgzyTDEJWJLMFckkmFKGoz59pMI9ZMc4NtYCDwQuyPCAl8FkMPOVpAaA8yJG
QJQdarAdus1g8ShlAchIjqVVb84sLafb2cLF0B6azQKWAkxMCQowS/6x799v76O14//cHWYfxVVP
REzuISsmEa1Aw1ZFVFJRSX/Opoo246mqnNsWVxfQJAAIgoIGj3Um+HDZBF0+gUlgDI+kcEtxG4F0
J+ZEHc8KE3V4wZndWMEKKEFMCtqPnyiC7iJJPqUhDz5y3SiHEih2LB5rC6obs+KXXyoEblCKDczv
Z0gW6hyUTGZJtSqlHfnSU2ELsnUZ14+6C7oeIiAS8B815xpf2dLL2Im4wEvQbGW39FiiDVguP0En
X7LuAMhSqtu+qKmof4DInhOaK0fVMg4GcB1UC9GiYTYa6koF4KQiHFZ7FBwFFwWoZ6KNG1Mo9lmA
abvbMUOwgMxFviwswX0GOeurMcVZqsdOUfA1Z1FzBs1wIMt528LKZjNkmUDTZKkDgjz08hMCspVO
NboLQB//LIMjoCs0Tjmc+zwbTEySNBL1DDg7KMXWYFP8mejCQTJG97YnK5F/4QnzbYYoUZWgRCTU
MarfjZWCEkR5klqds2K37WBc43LFQCyD+hgo4C2R9LQQT2EE6WRUo3mUb9/cLezHR00AsEH8x9RZ
UkUZEs6VUuNZPdegfaVdPZUJDYlk2r40ou9lGkVYOFlXmY4PqqdtOIzDdmzACRFESr4hUQfs5KSh
NpkOYWLPRjV4cxjGLqx1f3IxESNao2R4b7SmnzlJHUOIMBrnQKfZlPiD02LX6ZsOMrgidNcaxUnS
UgZ0ax5/+MMsvsdBExzMqJx+jkGq+w9JJyvvBL0xuwgFiG0Ooh54Rippn36UzPd6KmeyLRh97pVl
mQ9UG4MhRke/7nyv9lu9P5h1IoAyu0mk0JOCIPxRA3X0Q6grRbHyogjfy8mQIioEfpZbRgtcFVSX
c3eI69jkbPW1gwUo2oXCARAGjB4wn7nENZhJGPD2c9BRqF6N9LUkm7E6lMRBd+128K5tkXNr8qW1
IO4iwLlhDYAnCow1etqY3UNx47aZtdg9N8Pcek0ClilzghlJ+ZSyh8R/7LuPiquevKwNG7noRIHx
DTmqiXzr0pvaV0NTCTWk/tVHqdhy5inklIQxiLn2Quzpxcms7jXt4bZzay8OUMj+Nbt4f5Y4DG0Y
pHgPgAdA+ex7lRbZY9okVOsdFcOYIjk1gtNGltBtOYZXvp651MVxfIJaGEDoS8NGNbeCSVrwvevR
Byl+zj3IudSHoH/pIBikBZNj4EEQJOp2bI9zAuCvBkBnWOwmRfdu/5aVG+ripzBr0NZGCtFb/BQy
SBq68aotqCAwV1pw4QOZATItzj5ZSaTgOG4oCQhwEaNGl777mp9HJBsyDBppT0UKLItRJpaa+cdO
KL6gM7pppuapJDwqvm+xLSbIzg2z+oNqJiUDSINQoC/mrS+mSHYMYOpbgbR3GDsdB6RASbyPZwAH
dkko+HsRvHeRBSRB+OVPiihYbaJJENnM+ntRnuJNDPqKghIhSWU6dX77Hibq+NoHEOOmMQmrXTj0
6m4SxfRejHEh5wFPzHEthJGVossCSlGwGLLo1TiYmzbsR+iaCX2PInh3JxqNilOBvAPrnzh1nTyj
InOvph4oRBQKxc6v2wF0PVWNCSs8m8FaI+Jzgobh8oPqgao3o9lllja9qKXohlL2ag457eP0yURb
JDBEzGD1ltTUVArH+wiQ/1aNnlr5iXTxnS89j5hIFRQen+vK2kCvC6yLOvYZWAvZtYGyskJqsYLI
Rw7SuUppZSvS5xNqS9QvQqecRRpPv0eoLaTNh1+pT7cXZm2Tg/kGSpugBxXx4L9cFxLq4MyMRIjc
CNkPBSBMs9FfNSn99/QCJB9LVQxlGLwV2HtniEdNrRDW0zBTDaKvi+ZH6GWY5b7tz8qHXiqOIJoE
KwWGBNh2TyOhAywZEwh85PcRL2/yBshgLdnZvOvFF9K5fkdBwqRUI02hBgImwDTahsFGVCxwanF+
zfXqLpV8lDUg7opLV2NyRDEFIyk2FspxKujfQyBsMOnHU9JaOTPw5XC4otVnoKSrLfn22Q0hpCYS
3BD6trZ7d3pe/j16lFo762mim5BuNpzM9/q+hZaaihkMsAJiX7OCgV3Y68pY4UYKIJALEfARQFP5
dWw5oJfrZ8KlGebQR/qoVM2i1wcuFjqQ42TyuJeur5XFAt49C5WViG735cKp6RRJmQoLmLV3JvEl
n+0kx5jO7Pj/zIf3ff7gWYkOIBBYbDdJ02YfoYDzJzHj9r7NI8hvt9m/g5Ng5vw0YdYMzB5qr7U1
hF8r0+0rtFonYQLFTXic/a+6idwJkEI64z0x8mp4a4uJ/hWuS1yaOOSZK7MofEkB3SZOWDyZo/4O
LdYlOfLH/Zz8M1BycfOvLRa9GA1Am4XQH7aUuQU5gwHys70S7Q3ea2XVJ1VBZQ2YOSKzdckk1FDb
BuwMDC0tlcSCghumm45p+zMXPM7BdZ1ewqczW8wuHnvSgDoVtvB4RU7+R5SQk280v7CI/ntGgTsi
bqG4/fh82/CKj3iKmeDYgH4EXGTSPNk0okYnRW4N2VcA1lg5x81MqBjvdDN2/oMtlBkWginA574v
w/OTaqizHByCuWUCmS4RT5Y9sVQxkdDR9t8bqhJmO9CbRs4BaDybvpbtVMnBVMFW42mgIUtMFMAk
zKpw1m+l/3RpiNlzpTLVWjrCUJftk/BuLr1R+ZQNBwSNOfrtfb5Hz0WUX4tiazROl3AeCNepKswT
9PJw62FQja0V5aqZBkhGQZKiDraQNVYbadaw9EP1pxz4PVn5THgz1ys3wIVN5l5TcJrJGYHNmaSu
GbtS5m90Zae2vI4azznmUCmrVo3LsUYDHnhQMOPDqYmCnElSQXZIeisS3ch4vx2k12/kiwVlpylw
l0NcXIZzuY6a265t7Jn8nBuCR741xvX2360hLRVBCIYnFhiuLu+gaRT7GmV0PPyLyFGmykrqg4BK
XwLWiqobKKA0nKRkbcOfW2Q+nqp2mE3VQeEgSKXXjACSJtZgaG4UZuCC5WUnq9ZkvGDRbpFArMJk
fgCqxGFSwz8MPtlTrlMVWh3RVNhy8JoLvEf61bcDPA76lxhUW5JMJF2Xq+kP8tB3nSSg3WqB9VoC
22GoyQB13hnxA15st7/dVYayWIO8CyQhkN5dXQ9hpOZN6sOaYP5qssAaCCcF+r7ILp6DjAXmUvBD
0lZFjH6E5s0f0SbduvPmj+IJu/I1sn73NLGAJLKxuO4/i5/AsqbjSAHmEMnRtxTG2VHdF40eVaku
0FzESwjVh/bYFK8xQGsJJiAyTOYP/6xbw5hkPl6agbq8lxEewfQzRZcTE0VFTPPULaVfvYGxa5+z
967Sc8Ygs7pyN7d9jrotHcejIbsKlNClyLsdI1dHJWODuV79OZgzPYSNEEeyD13KoaOAqleE48ta
LOJxhUoNCp2IRuYcAey/CeUIduryOVVAIs0TNVpfrL8GmGNDS9ppzorFwPiEioQkPYQjJz3g+WBe
7t5WnZQ4aWHCCMGXCxrImfBijGOCncEsJJArZcsyNcDgkeBVNDnfYX2ZwBgAPgQIvxEmG/BHWesx
RAsf4maB4dX1o6w93o6p72OMPRY0DDejOmKAxJLNbQYt1ASthxfai+y9YWryNQWtvyd5yTb3mg0X
FbwaxGf2GKeqXO1EuYS93pWepLf+TbYeE8uHlsP9YTjIB90WPd3mOCnja99ykolo0s5JCIAZVjJI
7KBSrbq2Z3Pfd1DV1qmmn8JFVQBw1qSxRR6V5mqcAGcNMJ6KOiBLCSwFiZboNTzW/bsqOxnNv76h
l2Ph7O8zuyno+z4GWQaujkmziNI7k0HF+S5VOavI84PZUpWmBOq0HHFFndJM2vgiDxEgrQfH/y4V
i/WtSSfEQwATqHPogf0zepgP/eYDBLnhV75PqeZmbvnCE73jmmUSi8g3o3kcYNaUrenxIfsSrYhm
yAj3w/uPyc62L6adqZzc6fsVexWU+HQS1EGRZrAvmE7sBBG9JIHOJq126ofsTZ5xV3219vN9nNLp
FGIvBHZN4xdxz1PNvUbnL1FzZn3ZMmeXMnjegYnwsSUmlc6hU7xC3bimo+8Invwj5Nxc33RQ176C
3gWlHiBYWMxRkUVSMS8pQHyovqpX2UI5fK9tJW98hOrjrqbA0ewTkfJidtXNBVEMLXX8gxbEpZtG
PI/zMMLNMSmoptol2gzxsVYsZdqWqh37x4rX/1x1FjyzOORAMYJ6LGOzSfy+KwU4m2UgARedvKOV
l+/VR8wCHiYXk/kPw2b0YuefsQ34pueGmbNVa6q26kUYTsxjK9JJeibALVbq5vZxunYQnJthTlN8
S/QJZJgR5XfMr6F/9Oe2gdVc9dwCc6QJuu/LPvCeGFCzKirvSpfct5QGhyawNWrQl2aTew/KVr3n
7YuVE0hBO1Mk4IZBIYMdWpHHMlTnehJo1bxI6NVUIMHfjryJtJWbHVZwGSxQCcykMQeOEmemmtYz
zjni5GiehHWC9jVP9HvlO6FogbFwEVVJoFCYA1v0a13pckgax+aLqT+IIWew73ts+WJXowIJDmDM
7kMraVEWutxcvVSpmGzOQms/2oYVbMyTQg0vtn23oq0b7ROn3WcPxAqc0Wqt+fV+8NSjhpdGTrP7
5oSzZu875HicPTCubWUa2C+pdTuUrlaa+YnLGp0dc6ERtQIAvSGmR47JsE80R/H/dTvABL4hHtyg
EsLQOrPMfYDpYhD5hlYZH8T0kSicv79sJ3aVMT2OOW6U/XXAUC5dEHoxiLKhCK1W+ZLqp6HdDaEL
Sqgw4hi6iv3FkTNDzFoFpo99EUCIQcZ01uDvIv0nSR0u2Y287F7Woe9cSFGQ1V7tsXRGWVIpOjhk
a68jBfXsAcNux5+lDWCFFXjtIdr1VrYNaXxUH9JHc5vZyAA84blweE2zqz0CyLqIDhiq9pjORxfi
cnGVLAe3WT6EliR/tZHdYeDldgCuLOqFgWUxzgIwa2NJmyIYUPXT7Lthti2BSOXhFlZiBF03xJ6K
tgAk3ZkYTPxM8tV2sVLdpX5Dc3mzUFwYKToq9m2HVnbUuSlW+lsazUKRRpga53tSeF2z6w1ORrvm
Daoh4BQAQxHm/ZefcLZmaRGSoWsVfBTyQUroWOz9BupjaKkmnJBf+/znlpgbM5e1GfgiWCqgiRfn
6GJzx3Gv3h6IsHMTTISZuSGKRUmwXq4u06ihsuPbpdME3gRmBpyb8+ftD3T9pGMsMiEXmMA4pSMs
1oK7yCxQYlVWvg8OFVIt8qEaFg8MfV24Zkwy8dcKM64IApPdLhfuSrRMrT+mNVriGyQE1IlKmS3Y
k3fb0ZVIRKUa8Q5UI8AlbPOwHYY+IY0K3lFU6JIXojlxzQFEfzfTmLMKNjB5BN4BouLUugxFRdDm
Ph+10Ort6hhQnRo7/ZQ9Qu/OAvvOl2ZD3c1qaXLIj1+KM9AjYG8Q8cjor4EGv2/7e/1iwATp+Y9h
otWos0aFjGNoTVYMnVMztAkG9u35QKzwd+v4bk7Hyips35KpVlCfc9+vHGUX5plIxnyWb7Q+1iJV
/hiEBqVKq/ixAH/7bT+vu9CMn0wAx4smVTPD0OQoNKPNsXZlJ30Gg85ju5E2s/fSW8SFoKtD7PZo
euau26A5w5k8XXVXAS8DXknI5HXm3jWMwQTVjRli2tOOFUgd2JpxmnlcNysnELrFwDuDGAisaOwo
bxcpcqTNXWSpLTAtz1H2cnsxr18jWMxzA8sPODtM6wD1vKiFgfajwSFn0nQb7QPH2Ia/56N4Ur3A
ykLHMbfSlmN5bX+eW77aO1ElVz0sN06R0v6NfHXefIJcJ3DOd8LP6tBEuNd5GTxvQZlN0stdHoLc
JbLKxG2y+7b8uu3WdVgsw91oTX8Xs6/SvSiE0GNTB0CdxnK7Mf32aJC52bYFgLTVGPLgY9dvITQE
lp4AesY4gYA3uvx+aTqXSdejIBIq1uAA7Y8puNYefs3UsNvMqenkxvQ1eUbJILA+RXR5ONtxObsv
j0D8AAzx4PzGDCshzGckxihAhxM/oI9w2CynHTkF9wPlFgmuv9ylIcbTisRpKkcwpD6lB6ByZwqk
fLmPtpn1Q/6QXcOkPFK1b0zULeeYMy3J8lltNNgEePVZ3IkWee+wnn+MU2QBoEuz3zzhj7Xl/JaW
hRgTth5L+tLrMiRyl9kztVIpiZ08tEfzHhBIMbahpEh9HlB3NYJwTZogIANi7YpYV5x6LRbmEJOg
B8WOt5kzOKaDmwPdEQiSxV/Bs37XG9ZEdXv86MBZxAmglUt0gev9/QHMh41MDfPVOn5ARhVX2EAB
VToYX+3h7dNwp91oB/txj+kEBxjugub75JkAT2iJu2M7W5VPgcvg/KLVPXz2g5ivjjfQOJtxhOLC
5GgNWBRrN0KqjKH922fF8nfY6AIcD71KA1mszHZSmnTu/K6DYHY0nqSwAdzXHcr7Tm7ccvh129Ra
WIFjFsRMeIqCuZm5rZJKBQKTwJRRdOZDkovjw5A2+3lK6k3RN5ElT8NvpZnGfRKNH7dtr25cUTN1
MGBD24QdcxkCZRRqA8up4mzy9dxpeFPTy43PLiSoAJfHPEZZAL+8PASDGHxmuRYDXqVCVk9A7qO3
IBCPfrT6ZPVA7uhgL/8PTp2du8yxFytdFJYtToaouo/B3Nz+MxIZCLtzfhQmy2nSloi9IkL+MBwf
mvmjiN5aqDtMCfjtZ16GfhXxizFTwSg9xiJFjKhdLiD6skEddyBjwesbmaEuEEz35W+Fqb8JKeCo
t9duxdqitgvWnCV/wjPu0poY6eApK+LKGo3sh1G2/UaOjNoJcZU99P7EAz5cJRqgUMRDcSl0ASR5
tc3CoI+MykwqS8Q4Ou2qBOo1kpzQscWL5N89Azn5Mhu+AI9YBrooDXozFOsKAwKlF9a5k/f9doz0
Tds1nPzzalfBq2XsCBcvIh6Rf7mI3TCAZL2BKSNuN5k+eqHe2Le9WVs4zDThuEBrfunRX5rwQ0FE
WyevQBEBWsA+aD71UOhsedb/3DZ0XYeHM8iisWbYxLiIluPrLAutkP2WZT1U0C+B0pvY7SGK4Zi9
vy1F3RPb+pjI1U5KSlfyeUD4q5MRE2KYscD1Q8BQgDccY9pUpmAuQHgkdspRSA1HKt7N8VGXX+W5
y6jagdOp+vfpbjiM6R+CNFFEvLDXPMicuxiI6MqS/clp/dkp2nQrZb2rVfUduq6gPGtoJih2lqle
PoUx59NeXT2LfbQfABkG5FBhq5J1l7dKpYiVVQ4a8MnjpGP4tT+C/Tl0SCxkmP/rJOf2V14LpzOb
LPNZJ/TYCagKg6PLhgbeTxFESHkKPe3bZtZOFx0eLXUugAwJc3Bmep+iQyBXVhSZnjiMH5WkblC1
36Ci5N42dY2pxzICUYXGOA5NvASZTCGqzZTMQA9bBUSEl4lR0hM7gISWFLV2Al16o6vsrH9NQLDW
94H3fzTPuGqMkBkKKphvulF3sgwM5yQakEQQiJJA997CDXJC3jLhJR781tX44Bv1b86PWGEDAhoc
qDLsHbQT2EZlhE4FtCBU1JDC+F5TIVo/gJ/B9Ktf0iTvYl/xOijkdSGGDnBmcXBLax8bao0qEAoS
VONFZvfmRj0ZtalXFjiR7oZmfCyD+VEIxLdqNt9vO7oWvmemvs+wszNqmZOFCIoBU23Z2cWUZ6e4
RxVCqwlP8mDtbEe/AJNfqIGreFxdnkny1BoKRBRxY0F3QKnK94GoH7e9+a4cXORMCF0TQMBlFh0d
GvZwzzBzguxPLsGuvK0IcA1IBj+7ZJOmCs2bt7DV9lrwMpVbf3yqpM/YLK0qvRNKN5s3eu6RCSpe
Thl4aukOyvb2j7v+qpjaBWAPgzzIizHOcel/M6oBKfqotKTKlqWZdoC8TfJHbD7+BzvfvRkQEILt
grngRrNXelCFl1aR+lQFV3EMzFSq7EjO07Ne9QguLUkwILRs0zcUytoforS0JkwytPOjTt4m/zRm
nDT/OnAglYpSKlhewfQKLPnlwpmjSgbDB8dcO6SaVQmtZvk+sv5/XzbsBLSwMeEC7momPJtOUJs6
BNliX47pHgx9wl1Ry5otQyAL014Nhx75euMtVLmYT1+6W6CwZb6SBCTJOPugG6t1H0lb56mdbmkF
L+FeWzsAAZCOoul6DeNGNq8k6YJjHvVN5n/K6dvtVVsO48sNBzdAVAVfMAOPlPry2+hJ2E9a1pcY
freVkvqYySDhXpJVtBW2pPtz29q6N3+tLf//7LSSJD9S0gTWokF1ZjE4aCkPN7XswiuH/jdzupJQ
UlKj0tBVKsE2tGk6N1S9SbSEMfMiDXIRgEsBfn/bqZVIkBVUXJcpNgnVEeZcMMYwNvtRASMuGj7m
7AqzaIMD57aR66IPNo4JEqmFIWahx2bizR+HYgLXBNj61czWitHSDQETSDHeyPGPKdae++IVT1k7
8R9ArfAxieUe4pi1qdiVzBtnu+aIYH6MfPkdmwHklP6Sg5vmgzDjxG2dALLcCW4j2ho/8q7Y9xBZ
MGfBSYe7cZw4J8rKkuNBCHAa7iEoI7PtZXlE3SAu0DfIAuMZ77bAAm9YYyVNykumllODCScCdR9I
Ci3QCqQUl54WpRRFmBmqoZZNMGYqtAigWbyv9OBD1bpTUoFi6vaX/oYWsyaRg6tg9cKwICq2lybR
mM+NQW9rKz/IP5eKaeR8vMc2OIedxArd2gH9htNtXgaq0od/HyA0MIkpYWIEcHWkL2zySAwhVOWh
q61mok1Ng2N+P8OsrTrBXW8pr0pK8ao7Zs+bhAq8zHWJG8Z1sAVhmG/psKMexKx2gLRfUAoonsh3
5QG4jJ2xTawfxVuxTVyePNlaEIOeCGQM2A944rFdjFHxQYbUYp2Fp8aaN1DD8EBGup0dADs2Mee6
4Fpjjr4w1YNZM+Fa5Wi7YAdA9Cm1I0g3nN7JPue9pFbertgYZ84xQaSbaSVJPZybHsCegkE4CtBC
autezK9HL3fE1Vc7s7WkGWenuibF2KodbA27zvmNYp3XvUG6noIbyR1PvDRs7SS8cI256CXSYRZ0
ca19w9jiL33f036HAS5CSxo8tV798pDx9uT1c+JyOZk3TQ7ZsUEqYNN4yDahDSIwe7LCg0ldNDcq
u3WIO3rvUAZ2c+/19nlw3RrHaAUKEEsBDG8ZgJ4vl3dITaGZatiWPszP5Jfr38noZ3QuqgPzrthy
2wsrR96FPSZS1agTk3L5nOQOT+4TVGrRuW3fKqBc5oDKJyjHWOmdYeWcK27l5r6wy4RsO0wmxDhh
t7NKF+ySvx9VTxT54bruHyQOgNldIKxM/KSSXIaS2eOE28le9ye7U+zQBvDRMq3a6X9F21/hrttP
3OHUleQH/v21y8SQmWOIi8QDVAnfkl+oMgTUP9S/a0eyRidP6csDT4R01SDq6hJYKNEG+w6ss32p
toqay0vgDMJ8wLj4vs15/FfK6ol9ZoMJln7GQHYe4bqYLIJuduOcpO1knR7ffCDq0CWh+lHe3kUv
fzQ6vQP/RQPXC/eRTY7m84vx75mYilFOYoAQBEUztmA3RGpkxLKMnVI8l9NjmnsTb3esPJlQ9kO2
ZwKfu6iUXG7GWTWSyk/U2krJaIODUZLByuHfBT3vKlw19D2QilcwnhnMbhCKWCqSnNRodFvTLtrM
VH4nVH3QIMYy0MauDiJ6X/N9J3IWcfXqQIqJl64CCWDYvnQxJFVXNRMgdKPbG5vyPkDa4WgnwcO0
4e2jbdXHM0vL/z8LUPAuYAB9hKWFYNEC9ItCGfI/mIAwD2qKBlCr7B6IurQPhhTfq+pfQvCJ+Mqm
irYGL3NZ9WTh1UB7FMkEm0vUOQrW/YTIC4SDlj/KFRqG1sTT9L7uiuIqQEUJu1kC1Su21uWCJQam
Tn1dw9X3MdpgOKSJpzsB1bbGIUzp7LS7kB4HWmz8O33LE1ldvjt7zePdIaObheoM+CwujZtTWI6V
jojUje5+0oxN15puNBDOF1t38q8dheHiymYJIl4j7Ew7DNH3igV+KsGSPJyRj4NnOrNKQwGwpcIJ
l5arCS0Xu+epQ3w3l669BSE1agkyclLl0tsuj0IpKRA42l3zy3gM8Og6gDjXnj50t96Ev5SZKj9r
J3gWN+Dl+4ggXcdZiNWYwotjUR0EYpnF8iQBySBUg1+QzdthfND9CsMAjgGBhf+wRc7sMEf4lFXG
VISw42eKG4LTCBH20sUZxg8nTnto7YpfWDr+xyXmaFnY3GKjg6lJqO80yXcH1bSLqrBkqX+ttY+0
LjHtyEneVhOoc6vMrhHaXJn7GlbnhQslwcTMn0miFWaN0VbUyRY8M2grtKCeMeSt3Di3l3flFsYY
nAmmjQWCirH/y0CqkfPnce4jkPTYguAZhHv//QPq6DADCYzSAFpWTKgCRgv694XeP5dCOkFfUH8H
rU8027cdWVtHVKLAO7JcDAux66UnpRwAMtFFjZWBl8ktT2Tru+qd+Nk6vQOdCmgB8SyupN0XFpkv
p8tTZzYgCwEaKwWKR74f7s2GAuzRbGoeYcLadzr3jkkLeznpymKxFVXARurWgLre7QVcOUAvvGES
QLlv5jYLYKE0typYLoQGooi8JVvCiTm3Lowwp3RWjlpXm8BtiJ72ENqdA83J1Bnsp8nTP2/7s5Yp
YBYEBBPQt1riggm8OWtSsS5iDJp/4Ktg8iWjuIhGWnva3fzOMbaSaSKrM4CjwFS2TNjm5BhB2yFQ
08aSPfMkOvPed02rxKTZL2jseVzE/2o4nJljQq9SSmVQsxyUk71iNxCPkAzep1qpvV54xERc4pN8
hl5OAyYwe3ggXljQ2K11KnmG3Zm0dZSH5UlS0uIQfanPnPXkOchEI2gaK23OYb2ziqW0dPzdu6Ll
30M16Kn4rK3wz22DK8+uC2+ZwBTGThyrEgs6mPdR6gg5lRWoIfs0VziY3zVLYAIBvALoQyh0Lp6f
pZXKOOK0F4vGmrJ9DVJoHyXQzyKyW94UzTW4GdNW55aYE1EW5GoWZFjS7mKBDjvNU53T/UksabkZ
aeCldAfRp476TsdrKK90eS9tMwE617UutyZsFw89lahp+afE652vDpDOze1Ptxao524ygVolgQy2
0bKxyM/8EJ7ajXAnPDQcI7yvxsRj22VhVBfwx8QtNkjLIKJSQfgMAn08XrK15A7fbZkzA6c8YMyM
Qy20YiIpqRaHZheUMQFqVdCyd8ZtvXkP3eLNvJOfw8dpH6NIkPxOJk5qt1bDuvgBjLMgaG1qc8AP
MHxg7uu3qjguY63FhzrZOeirhg9CPubmiCauotYUguFctYbrkabv4P27CMyGrLO5g5DVsgh38XZ6
0Dxpb3gjJlzFz2zbU0Cf3J6OQOhLmHWNXB0Db6E3nkz6qm//GQB9+VvYAZ0qqztxmvBbZkik99oD
KThyWt9VHfZe1BbxKQ2lEBCkMJ88qaNqjsS6sXqUJZDCeBntjiFymCBEVZRsMEe1me9Fj7d31gq/
YNz/a5j51LmA0eJmhGHMhc5bEW9dEShhSN0uZ3xUciHJy76/5SjzWQUwoCd1BnutJNMBnYvap7IE
jmbTuX0qLH/ohiF28N0QJjB2Gfhm4mTpktX4exLtll41+tQqcZXw47a964GdJUj+riTbcgXUK47B
At5YP4NdU9E/uEGwa2cLSa8t0g4yqZyEjefhkpKcXSRFASrSQIOHXbzJS7sm6Pu4mYqZB1pmXzrP
3Fp+eO4fk04ZKkRp1XaJFPCBifZY/w7ae84armXU5zaYu1Edq6xTJdjA3KfV/fGf073wM6baUfkP
bdGLr8XcjU2rNKSVsHhtZ4FxNZOOac+JwGsSBCYimDsw1Ugb/P8Vc6EfZ8m73M48QHpaRESybVyg
4TfyD/J4exG/qznXkQ96NUwWgAqBhYqqVZq0mg7XzCdtp++VHyaqxw2971GLAXWcW1o/cHJaKUq7
4ka0pff/UG7C2v79AcxXHKo4ifIIX1GCllt1AFF/qHgjj65uLUNEtxkQZgVwS+V79c/CH4KHujCj
FgjaLxGi9Rk1uYOGS0hfrSTRUUrFvAioFpiQD80xFTsDjmge+mJW/BlCou8Y3Qt26qTesA3s259u
PWs6M8isXBcbsR+aMKgiwaDTQH+8y7R5mjbFZuCcHuthcmaL3QEVSnm1D1uFI/qOBl6FhIrWSMm2
RceeahTC2vf+/Uf5GDgtmlfJQYFUCudXrHxEKL6AHQB9AIgvflfbzj5iktR+WskgVtPQvKZou9q9
OvJEkJY7jPmMmNcygCICVgVXHfMZiZ7MbWwStIiq2hY0r07eAMmdewyodKeQp3++5pKxqDrCprh0
ii+P5Sol2lyHAKJpqTg/aW31MuGT8hq2Kw9poAfRSkDzEqwYLBMBiMerGQ8a3J+B7Y922mR2oNFG
fJXbtzZ1jPEA3d+ZRyO6cgecW2Uv1WyGwlLTKWg0Fp9lqv6Qa9kxmvzt9jZYsQKo1N8VZHKSDrxf
RZECoDhE4Hsm8q7VCN5i2ua2mZWwAEsuKtYL6zRamEwqUsW+FOd9iCVEJdOteh1imAnURPK8OFW1
aTz6pKqeo5TL9rFycQM4hyQPqA1AN1iu+rYP/c6AQjTocLaB4XTmfY30Nr6rkp+QBEqSh9t+rjxd
Lswx1xAJ4L5OYK6esMtFJxFKJ65q1BdtCWF629hK9GO4E6QHGiITiCPmVAmIWXbZ0r6cq20P7sIU
Iti3LaxkkBcWGHf0NFXLsB3hTgm96zyBEOMjye6KZrRvG1pbt3NXmI0cDrgTkhiGNPGhGTBGFZTO
XO2lIgPl3n8oc194xcR8qdXTWIhov3azUJ2yMBmdTqiCh3I2H8S8lTm+rWwxbLAF6Q0qn+UGvTyk
pqwj5aTCXG8+5Nm2jj65DYK15UNlGUcgwakL1O2lib5KxmySZzSyi/tIpUP3/0i7riXHdSz5RYyg
J/hKJ1NSqbx7YXRXd4Og9+7rN9mxO1eCuELMzH28HVEpgAcHB8dkbocE0ujPfS4IeNbiLNCW/4PE
7d0YQplzLoE0bcJN9mcO2rufM4oylm886c/0odzoFFm/29ax5j3OQbkdBJsOVDYTgJJ4m8E9yQ9W
7+mdN0VPUS94Hq4dqn+wkGC83ErSgUghKoDVjs9s2BNRnXztwQ+/voQ4aIKVobZ8CUBzaw6VBH59
PhXElf3sOGzGhWMfryVc/AMeMLaHB4yIJ2zNDM9x1UvciUYjEsLAZXSRT3qPw9STJUGFZR3kX1cl
/zAbitQuswFXJZ6bm6REEJ4We42IhJrWDAIssUt7OJrDr5SpQhuia1THWiz5T5Fuh+xpLhKnr0Ho
jXv5523rW7X5czTOC6oQ5WkTBjQMdZhfJB6TnWlDagWdsuEMZhRN80dY50OrUMMFE2pxsCC2vMOs
UONDE5i5Y9o3uyjOTG+oW+K3Sfnr9k9cq5SiWR5K5Zj0AOUHLyvACi2fMnOCUSWq37fvHR7fXaR6
cWwHQ/WtWiBpA18g9LRcRe6PrTbpzlAh49V9zuQhjeqdpOh7VI1Ohgx+D1uk47W6h+c/kLO+sS5A
2m/jB5rHMYhBpUS3KV5oeuuGW/052+X7CAd7g4mm2zuzdpzPcbl4dIgstQpj1ASK5L3Vj5koqbNm
ied/f8E/C6oLPdYTXYe7UHGqNPQMtr1nRfs4fgh7x84EVdO143WOtvz7GVpe9tDFxawQJn+/pnrJ
m78ZInavtTv/HIOzdrMj81CV2DEpDeLkRUP+JvHU6en2d1mrGGHYAMxeGC8DjxL/coaUVzZmKZYy
q28gTXTralcrrVMgo2hszGavo52gEiU91tZ2Dsp9rcbWKhIasMKhf02TFyPFa/loil4lqy4erh2K
ddAgX6b2Lj+Tjl4WNkHdza09HLzZOzUbZvn4Wn55DH2CnN/g6E+isuWacWBa20JBDGNzV0OyzOr6
TCXY0aFMfFahAtf0b3NuCmoqaxZ/DsOdZJKRUE4q2EfUbubCw5l2+hmT7uAjl+XE0TXBhbxuKWfr
4o6wVJvNIP81yKl1R7DX6xgUw2PikGmxNxSyBUaX6ARtIseuekHkIdpTzmDUCIL1mow9DeVH1n0m
3aYeBYK2a7Hb+X5yxiKpVjHLCYyFjelTT6BNREBda9UvddT76CQSfL613Kl9jsedbzQItCRMgac9
e/o+DawPDZJzz00wu9MO9cWgmbzbZ33ZJC4nYFsa2Mkwh4hZUr6BDYUxgzUhEM1U+j3Fw8881QUQ
a98JbfLLhB+e6VcstRpL9Xaw0Q6lZw9Dcp9aL7Is8lhrH+ocYzkYZ85XQ5Dd9DkwLNUd7zDv+yS5
zDd3Q+zMj92u30OZaDN+Kr9EzEWriyPoGwHjPpqt+IJFT1JKkgzxhzE3QdgnzCma0snCUJDouGYu
QmIZIzl4axmYcMCA6uUKJ8NqJ3McwEfwbG4KX/mWTiFOtEvvI4YMmad4aFTfyDvSOfPk6B9oA96T
b/k7eiMBE3zRleGH5cdAiBONBWDy5jNJLbOoCRG1Fu0LRlDgtQEiFShwWoFyj4HS2KGgT2oO2m9l
R1Mn38Qb81Xk6q43/vInLIZ99sUx1TXVoLYHg0e8t1VfRXed6GlzfSMBAoOEmIUDaydIBy4hskZX
KrlYVln+6uo/tt47DJms/s/tI3htu5cwnO0mqLdHcgWYFOIf/U952IXFsVBHZ5JFfCkr9bUFCy8c
JMuQleeH/JI5GecoBBYd403a/Zp1865VfyA/75pD6SgQZEZzOxjmk9+tyTxr6o+2AW2JGl3mMQmk
9GGkycvt9a9cIpc/ivN6OlTKw16uWhdvF0iPNL6ELu9pNzFPMz/makvke00kiLKYx6XfAyZZaB3A
fnQ9sSfX9lRoKtJMGZEfk8x8TmNLEN5eX8aXENyytCiRxqmqW1fNNb+O3UHZyIknlXQ3SfsI1L23
t3H1QJytiLPWprNbKWoAB6U0Z8D0XpQ24KavBDCr1noGw1nrYJYQvguxcWaibGkTFDFKJ9oyvIcB
lt1/sCQwYcDLqBh24juX6NBHcQ95FVdBIdGowIXf+hhWvw2yan42BK8WSkjwGPHaNGZep+2YYUW1
8idCFxEydQisWehCpsrJYjcyHVXd3gZdMz8b3Y6YSEXGH6ojl67FmkezIgY+Vplh4LbW7tOhFgQT
a97rHEK9hJAqEKVUDMuSWOxKmGOCSgVS41r5enspawZxjsOFgKxKsKslcHIrQVh7wsN6Rss99HFb
SWAPIijO51dqoSSNDqhEzb2IOGWtopXbrdtDyr5vr0oVfaHluJ3dL3WemFMmt9i+bQcqRNUhx3an
+7arnjCz6YI3FmzDij9v9uQUPb3G7iv1DO/2j1jzIOdby3kQtFsMndwultnlfpb7w1wEA/oRDOVO
op4k/boNt+ZBzuE4D1KBY2MqCOAw5PQiqTNSepimrErkK24DrZrm0t6BrkQcAp68SkF2Q5O6rnX1
Kpg1KIgdCf0xi6xldffOUDhPZdsszTBw2ros2wyk30ogd2Lh3dhkfkkeaBfcXtRKmxnGWs7wuExo
XlWlBX72FkOoDvljUSf70Dz5UXs3Mof2Tkld6Q0tEFv1vgpazIfR59s/YPXzaRrSbhikQMcUZ7G9
ZkhjNGG9UgzNHcpcprumSBJi9VicgXAmSSczkv5uaohWPVl9Z53ogllpxVnGg5a51oUzWuEbpecE
rCBjiH3MpVNVPOT0s6Yba/xm+q+6P5nx3iyPVNok8st/sH9nuMvSz058CLaIJFpOfDNTT4HcqmEh
IsqebqMsVsAHHuer476SVPdZP4dAqfJ7vfitTwcViTUU9miZQyQk9Qvz3+Y5udxP7pONRVnZyE7B
Lpq9HX9C9ZA2n4borl4500vHL6gw0J6NiJm7BnpkAeZWBUoZSm5saUGKUlFCTr3CBLfASgoHEGdQ
3IeiEAkerBxPISjl2c9K78xbdpw30lF/qGsn24Hw487+VARNOSvuBFUwJEKREEORhZ9RKhup0yCa
3rpteSTh6JgQeoEyrK4USKj7XSFIPayc5gs4bpGtNqRQQABcqR4y6UmJt4okMMVrGVrwfZwvibPF
0SwHUsnAqI0nyP9JNfiGjl3q9TmE+piv9H9aPajJnUwe6/7OyB8adoJOQgfHFgl2d+1Jid9CsLU6
ZhYsvhisNDLU7YcE6/XovXbq8GWLH7r7xA79od1GT12QSU64XeiQTWcfvTYiiYuV4OLiB3DHJA8l
VPIT/IAxDMIxKCMvsj97+76MLPe2CxCulbto60pmKTMApVGvireygSlT/VcU/E4O33EQvxeKx3YU
RKj5oXPYS7kB5fPtnyBaLHc3ElKMVgWRV8hBeoPu6WAMqzOf0S8tfvvvkLhbMbWKqc2hy+WC9acP
76p0P6VPzfQcMtHFsZwIzrOef0C+O1UHI5Ie10Cq1UOtf7WJIKBe6UrC0KCOZjKwPZCFZ+Lygmj0
EtIhetq603gywhNmXMY0qLRgzu+m0cPiNBpBbFIk5/OXdYxbGIbKcSg0kK6hGZp7LES0aUqwrreu
3WpeDf82gv483sSt7aiDnxJwDyUutc1tVt7R/ihFd9CInow7U7sfjA9zeEQXmqNOkP6jmyT04qL3
QTY9yHfJHAyFZ814+WgO1EhiEt514eQwMvo9tM/bXHIbyLBHJeaufqjdJs1M18omp0zupvpktXIw
Rq6NBxMF/7zIA67YqApFHwVsQQgFroQLkZBBa+dsIA6AB0SHbGEfk8S1Zb8yau+2ka749gsoztkW
gz63qbpAsQMzvSYCox20bMGhD2ruUuDZV8EwrYj6Cv67In6n89ClmQawFJTZYzYHsmQ6rfIhDYei
u4/LNri9uJWbeQH6Fx7n2LpmAvWYArxEepMxxKKpL7Qxg7nzb+OI1sV5NQVcM2VjLusyQmgvZgFR
vwtjo83RprTIjsyiDpgVQG2hRVp6vxaFCi7kkNSIhKpJOlepfZmWOzZ/Te1RyqsTU/x/f6QcSQgV
E3VIwCJXzl//WW6BFo7anasaoTuVrxPKy5EZDLnAOlbu/QsczhRLRYv0BgyKbm6fxuSYKi+sF7jk
FUd5AcFd+9qs2QzFts5tQx3Ku4NrinQeVxcBhlEkGOGu0AVw6SnVWTNpHmGz9Kh7b6FY3pfRUx4L
YobVdZyhLPZxFrD3CpFMJgMF3HqOhs7XotjeNmnROjiPH0uRraLzqHOr7HdZQfkWuS6kSf8rEH6S
WjcKjeKAoAMAklqtsRuIDs8rqE4L9orn7CEZ+vr0AiuRO+MU9aqH+T3v9jrWkssYMfzXV//LQnH2
Peo6qVoDHDMYqZ+PzDxA088dCnDWTZpXsvyQtSgGRAMe4zJ47Cy/guDuGCle1OeOMcibcHhuE1Gd
YPlE3OV58aM4J5GjZai1Jexu1r2S4rma7im9A311T49K4vedoMlwxdlewC3f4WwP4lDu81hdbJIN
m57ZjsTeU3UTJoLKq+h7cme4623SlPZyhpP4oauruyx/uf05RQjctVFU1CajDIRB/wjzjdoqArtf
S7xe7BXnJUyWzhiCwV6lhvxC4hji2fMAlmV7ehh7ybcTEoyscNrmyabJfwvOOY+IzhgZGEIcCPkl
C2snwiHvTtn80Jj7MbbBxnKXS6oAddUYkfXC1Y+aA0baLq2jqYlJdSmCBBU8Vpj7TI/R6uNaI6gj
f5hPcvv79jdcs8a/SvbIM6P/Sed2mIx6U4428Dq7/5PVxcuIXFin5J6sCTdUXTlo51jchg4tOA+q
hGEE94Am7JqiX678YR3D51f1qf4uBM1sK01LmGSGgrDxv0vjXDMJ9RSC5IDrv+V79mY9J/fT78qG
qgN42zXfM3ZvxqNwMGHpMOS9yRkqz0NcWip07FOg4nXqD3/QOm8c9R1YPSKnFLGDCT4eL+VHlLKQ
8xFYKHR6OSjP59xN4iciIi1cu+TO17R82DOXFRkxBmVi4GSavTNT/S4aIEE0iRJEIhjOEXdKVGtZ
u8AYskuGfYzsmihrv0J+cGEVBud+JzJZU7eASCC+I5v6I37JD4qX3xUf+nNsOkzghlfvvPPN4040
2GzkPlk+UpO/0R9Q/P1qwTsm+WzTu2gblX6Xd+oLmh/tx/Tt9tkW7Sfnn+E305rVQNa074G8qVrj
VPLrbQzh8jgH0k+JIsmLbZhHDe2AX4rT3rG9kXvdgCUVH/N+fEg8o3TUDRE9twUOxeAcCm5tMxor
YKMujo4p5aSjEO+YGLSn/qeMtgJLECOttN+YYFVXjYUC9y851eVJCKeM2WWrYNa2ZHjbn7J0n8R+
qnkY//dY/DxVxzzcdt2mmjypuo+TjWC7l5f8pXtZfgCauNEtjsI0/6KBoiy101zHyNpQO0mPLszS
cCfZwbcFR1aMAeDI9OfQz0pfgGwtu3kLmjs5BaGEoWEA9JzmHVr+2joDg9A2GXYsOUr2KSsOdfVR
aJvaerMh9qQyRyp8Tf6tKD9MvFEMRx6TR3vhbaGyr7U+G46kCrdzn7hW+YIsiSp9ZEXt2WXsNKA6
bOuvMZLdtj1R0Brr5VZTIxQod72OgUCkL5pDMyco1HwR0JNKre6OU6Co2xg0ptnOqPaFlPvVsMul
TRjvzHx2WjR4ko05ber+ORmPoXYyaA5JXupl+S8KYaoMNI6IKjL0xc0PaXzKVc9UAzQclqAByE9x
tounQG4Rr+ZvGbq/w21sbYn9VpSPWouMAGSip8cUWjZK4pF6a1XPpA2yRHPK/mCY+5g+msVBAoGV
9W6j4D8fkvqu0KAEk+ys4ilLNnnzIxxeUDfJ7Wer3xamY02bRDvlOD9yD4Io9t1Ab609DXMAMR+f
gZI9+5Cbz8JiLkoiDoKixDxGxNWV1zx+loof2tR4NobTEbC0JsV2geCt0veN5NnsWy0MV6ef8nSf
xSepBLEuCilqjz59EsD83Lh4DSvwFQdz+6eFUoN9kMMT0lh980qSn0MNIabq0EPAoIXEMAg37dFN
+oDqfiM3O6mrDi2dNoZ6SrXBkQuyIckHuoWCjPmZLao7rVTXwHWGrk1Mr8koC/HEIplBw9qIuqUZ
x1V21q4OWtCmMCc9NBjDdeQH7Wi91j4s7BnTeZMgcFuDxwwphH1sBS3caPi6dA1VahRdrQI+PqSe
6g4upGZPNXgPnfdn80C9fP+NwtF744tGA1bmE5GiP0PmDqZZTKZV41L72x4U+uq+cuZ3WjkZQlf3
yfKtIyQfD9M22lle6cUbaXRkD3q3Agex4h8ufsZyHZ1HCX1TtBTama66UJEAOvTMDZzxAB6G19zB
DedZh8T5sH/dBr6Ogi6Xz11zfZmQSbZQLxupF2Vfpeo3Zel0mmh9y+/n/N/F+ribTk6yobIM1K8y
J7vXXe0uChKss/L6DfQP75pt54pSSiuFrMu1cTdcFoFZviXY0+ytcqJdHlQ6CB2Qf/R+tMf7dGO4
gyBsFq2Si5pTrQZN+WLGlr3XjE043mvS9vYHW7tFz3YSo4WcpYBe2kxqYMQm/Skb21nOd2XcOM3w
AxUnz07HH+2gOiA1TxxoSriTAtkH1j8mieiF+Zdp7///qCjaXf4U207V0l5K8ggGH+0IGmH5LvaS
+9D7mWxGb37CrQYpttxpAuL00N1s3cHbG7HzfHtProwY+kgQugNX8kJkbPJN54MUTamshgijJghO
YtiwgnNtrKOwdf/q+wLoL+0uGvfhwnlRUTud09KEjgcSb6DjM3OnlHxNDW6v5voLcyjcmVR7bU7H
Big1cwgGexCfOUW8ybfhc7HT3Hx0ChSvRPS+orVxJzTHVIJFq3hwpeKxjV9KIxgU9/bKlj9xYS/c
wrgDiYyl1MgdFibFsrxLkyp7VyXNjP2xmIqj1cXpH6mLR0Eec806wI8OqhmIfaNvg7PSJEabTD+n
A8qBGxlkdzKmLuo7Vfu4vbjrJ/Pf1f2Dwz30Zl2FLgZ6vF0bcZ2njIG5oXv1U7JdeiDP+VN5ZxyT
neE2ok7I62fZggyuJ/RaaguLN/fpqDXbg80SkBTvcOp2luy8YzLB1zbNLvYRpYk4dYWA3IfsaNWx
ugOgeYTmNzLDG9s1Hq2vAQTQ0Z7cC9MRV4kBboWcY5WMKR+sCICVAeaawu3B5uLUiNSC3BXK2F4X
7i/R/mbWzi7jLk+LfpKBNnrKiWz6b6igNmDYdJf32bwxTw0CI6ig/4A1TVvRvbV6EPEWgBAFZOll
vlQ/KUWRq3M2oLEKLa39dliyWIYpCrlWj4UG/mcMzkEvhC8imC2xShvbimCrg76rDD1X6VDty5/h
g+VDvGy+zx5o0IoEz9dtB7QdKF0soR5/aWDGqqMmAS4KS9/6Ixrrg9BLf6ovmCd0q1P3U3Asl2N3
5XTO8LhjaUhq2kZRAaJYFZ0sbeug/9Rlm8aTvQGEOXj9CXb2uv9gMZ8zRC6YtbowNTMJKyRfFPpO
yFMHeSD14LWD+hQEBU4TyJakXQyapT+QsPgq99JBRLW/hK1Xq8aYKPgwbew03wNYp2VDCm1xRulB
V/4QkYjJ+iLPADgXgM6yIaMtfHk7mujyLhyowLqxTJ7yDu2pXWmj3wWl/Dp14klHCjpywhFF7iHa
0jKGCJ/hqGYIpZDqNJTDLiGaowz1MzF6pPokJnpgXIf5yzc5+7mcA+kTUFbL6nK7mTvzaxHhLcwg
ei63TyV4NMl3FsyDF++1/egqpje6k/f8b3fAXP4EmwvcNEkf69TAjoHKtpK/pO6RMEg8vUNoTWCB
qx9/4Rlcshx4zHH3QdwbFYsb+K8Zta58Lu/HUd4IjtWq+8DYkUKgkbFQhFzGfmNu4Xm6eGTwNBkg
qrvv7gPjTgOdzGfr0BdjDw0C9EgGdXAbWITLvdfisE401gLXZupOL+cDqtQuLSY/ElFtre/iPytc
/PTZLdDHkzG3FEjEfmfsTWf+7ZUsJ4Q/ouhyQcsLmgcQtHJxidWUER1oBZOkxqZB0iN8gLrhkG+g
MXyfido91lZzjsa5wcws56hJgTbZ7x0NFsHi28sRAXAGYVrMGJUFwCTPuvIL0qG3//5a8PiXvRyv
HzTqWNwJVtRJ08y+Htze+tkYUFzeNCzANItNBVHqavx9hkS4g1qM4P61EiAxTe6hnRch45zEx4z+
omESUFVDc2naenlvvw8sB11R3r7JPaYZDFLch2kjsPjrjl04DjC4QJFm0fpEW/elIU5Ur7Q+x+9J
/oCKxPZaNBU14EO9R5MSEiKtLHjFrh0xMEJinhCU3+ig4dyHzjSdRFUzuDQE0YR1KLUM0zV+0Xi3
v+hVoLOorSnLS8qCqhN0di7X1Wcx6G+qEsrDkNeZvaR6xG18G+I6sbRgQIPVNCD8KqPf6RLDaiup
7OUGavVf4ynGLbXpg6By+i16nm0Xo1c+aIEnMKhnnqgNfx3bJGBHg3yvCrrvS2xi1qPCSJu6yTbu
nPE5B1dvBCn4BklIV0Luw/49m+58pME4O82dMEpf3d9/8HkaJRQWSk0fgY/cyiOGy2vMMxJvdovN
4O9md4g8xX0W7PfVKV32+wyT+6Zs7OMOHTYQvQeP7445yR46xYXzM3GrbzSzQfzCB5vme3kU3a7X
p2R5/UDok+AdZEHOmrPaUi065Gcpskrs3Qpdme2qfjtCBZFQp5Ae+i7xwGmdmzLawDe3V311YDho
LhYq21FpmQZo1Rp3o+IPiumP/dMs5LVeTvrFlcEBcRbVMlUJ8xlAEIb6VQfzR7bXd9oR028GxHcY
4i6B071m17hE5G0obhs9TmUggt9S/yq2oxefpiN96repkx0RLCFozx/lgL0isrX2pWBnrytkHD5n
T3kMjUFmAj/aSSf7mb6lu+oNOaYDeZmoD71LCNW61Yt6P0sC13F9ei7syeIuTCVth7FVogRBVOqY
yXuUl0ErCda3fLAbH9TiXHsdsiFuBixvBk9p3iGLp5ZPjY0MTyu/UZBCZEsmaxAJglznKrhtXS7z
s9hmxLoSzPfjs276gxxvkWJy2e/JdlB4XMSNxr16RwLb015un5TVTV2aCUGHZssQ0LvELYcmkWcd
mxqmUFGKN3XxFhqCPV09jYircHFhWsLm3a5a0V7qF4zKNvF6NuzfyaycWmkqt9APEFzOqwv6B4w/
H72tJSClAVik/TZAyI7GEyrqILju5Fm+1hkIdwisCD2TJgZeXV06hLrXm4fY6v0cShW1um8wJVd+
o/x3+0sJdpE3/yie7UkJgYk4O/fqND4aPZhzEruQfIz29v92LHC5RM4wMjnMR6tAo7WsPUbhQ4We
GlEELPpUnM1HdhzNFmX4VOQn0R0NdVGLCvzl+sGCUDq47hQVpKHLjzg7WAb60/XBwDoM+ygpoKc7
FrrT4vbXtmG6M9iLJVGXIulAg8o46amHrgm1FdX2F4O4citnv2L5uGe/Aipb5WQN+BVjvZM1R4Uc
gVr7VvIjGk+gvnUGVJciqLiLwq1VoznDtS5xIzRgKWUD3Cl+Vk1XTbZzyTyTCbzI6oEADMjE1EWi
kU+RNXMXG3kIHEmHmKmOdShmvQ3DwoNo++hEU+ZWsuJJjbaPakE6eTETfm/BZAeyOWiYa5AzuVxj
pcUMgXMBM6ITyjuVn6SiDOCyTVcQy/w8RJahPsXra1UMRD2KiuUlFdnrFnhgZVRORu0L0ro7Krrj
rwcv4F4gsfm/cBDZu1zRiEHmYlLR/J9CMcP6XY6KR1Ebb55KCNDVee1FRZDlww4B47/vY86Bua1E
d3EzqRTAeQwtL83cUVYHlho+9VQo6blc11d7ipGApT0QjDp8eJh2zQg5I2CRJqMOSiwQgJ+d3Ei9
ycTLrRz95f/XjXafKOkWxufNREAysr7RZ7+BixOrbmjzdMBvkKw4fKktabjLzFzy4rnAO1MuFW+Q
6LyhI5n2JVPrUzbWm5aQQdSJs74ZBjSVFM0EZRLnpZQozaBngh8im7Ebtl7foRnjW2qDxEADAlJj
ENbCJqHdZBR5yDUXgRoaKAAJJv3AlntpbOpk29lgVtgD9kUS9Gf8sqGPa7i3LWvN1yPfB+IYAvk4
5AsuUWJp1KSirJc4w9h3ZrGNOiTRp5+3Ua4zBTg5pgwir4XFxJJ5X2ClJVNIjDBK7eFix5C85Rbk
Io22RAG/S9XXUNOCuM1CNyTDz7EsPprGeqz00HaVTHsNW10TeKdV14ghPwxQgnUILU6cC+5TCRdT
DUrUBIPYoRY+MQtZ77lypaGFLjJ71LvMN8bMpyIV7dVYfSE000FGpACf/7So8fealAK6fKjNccNq
/Wc6JU7WPs1K6yk0+k0SPAvt1x4z73352ca4hYZa3TVGgkBNdUz78/YXWk4Uf+rxXdBxBskDhIKc
h5mspqraCc6ajfE+6R8zbdqkhuaEKM0XeR+EiYiZds2+zxG5Z0PZ2+k0gZLRLeO5cjSEa42cfjKj
dQ2pEPjPNSs/x+KsXJHaeVQHYCWIpu2BOVb5Vg6CkGbtMjoHWe7Ds1iiNkB7otgAmeAf47hyGN1I
9j7EQ15EZb/2GjqH4gyoSNsuKqISXLutio5P304di32FCfVUvPOg/A0mbYFPXofU0TcAdnewkyz/
fra6eChZ0ptYnRxWQIrdOlF3k43CkGnfh2bjGNkpkWZBX+vfoZMru4QYI2S5l9idT0ulYWeiLgX/
pG/Yu+5ODp6xh+KoOal7J/mTG+7sw+hhUMXLjqU3O+ELpGf13bhnL+FH9UsXfOO1mMbCBKehmioa
5w3OkEASbUyRAqeMfBEIUsk9o8KYbdVYwXtoqyBxQPzEOaYiz2YDylVwyY/6kxIUe+r3NiotamBs
aJB45eBAZPf28V+z3eWjgsAf5KAgg7n8ukWJ3EHRtAgwTGsqH7KpHzIvgdc0PJaWgxvT1nhqmsIS
kX6uLRYa4gZQwTcPDuRL4LrMcNejddnNplOiBW0ONR9RlLjmaQhSsQTU7Ghp5edl5XYccmYMidt1
P6T5nkavzH41SXB7C1dXAuEDfDIFOWHeg87WOKW4TnFACHvuuv4triOHDLN/G2Y1fUdwjy6KtSo4
HDlP3dphSOURI02pfTQi30zuhhzdo5u6e5ANv1B8DQ8l86D0L7eBV9d3hsv562hUumiI5sWHIj+b
xDuteioykVbF2j10vjrOEGPKZpoN2MXI0ku31qzfC+jWZnruqmVuBazsFK/KcwE5xTqugZcS6Adx
J3PuzRjySmtarG5mGfoJyF1vmd40g9wO0mO5IgWm+ef2fq65EniQ/0PUucdE2Gas13IZrqSgYLi5
tztRfX01xDmH4EwFLzy9MikgCEp/ZYeT5Uf0gQ7vpYlh5q0KeTUoTN5e1to9gWYMBTLEC884v5Gh
URrNHBswk77wifE55AUIOQdP69t7BmLMVs8O8jDt/itUfjN13O9J3wOVjKe5PMXdgxq91dJDo2/R
oVHpAmtZOwtni+QLMrZmd4mkAW6In4v0LtJ0MCkL/MmaRZ5jcOetAB2ySVVg6AnKahBz1iNHlVKo
BnhT68//SX7uHI47eFNGkqmSAWdFP9IcHF2jX3eCr3Td0qKrYC7BPQ6zX2h1OBAtoW3VIJBwuylN
Gfroe/oJOV3zm82JHdiFkj+PBUnuwY1dg2q0ptIpy2UT5ZCEDoeoStO7FtNyIoG1lc+J6xz1fzBj
GzIKI5eXEMltVrZ4Xy8iCSHUoqDVRHqRnufaaQR7gC7jSY3wAZPilyg1iIwLrUeicBgq4yCRSn2g
mXGXjqDiR4FvM/Xq4CGGO6I0NDlRXMzu7UOytkxQAWJMCNVRE+1v3A+wUEnPUjxmQ/JM9IeCbBVh
09KK1ZrnGJzL0fpyzm3kzN0WbG9JMvt6WzjDLHtWWPstkw5qazlRjwkoBYq6mu0mWe/IueJA2WE7
5ak3air66L8s5ARvr34lCrj4Zdx5Ihak2JslcVpT39behg5naE9FFa4Vrw7jJqaOmXNI6PAJN7NP
G6QR8KpU6z9J/RLVr7dXsfb3NdBmLhSBiAF4z2MWeMObFv4+tEBBt5q7uPBvI6zaKfgMMDGGn29c
hWR0rsLWoHhcFOad3W7HxieFm1qfOsZkwLs9Dki5CArpa/kB5Jv+wVzM6ux1UUeGqfQ2xEO0Z1tx
MM3hKI7+iW7Je5DIxm/NwfZ0Qe537TSAfgASfyC/wG4u/34GmZqYAtSL5bkmHVJzI+HRJtTXXbkM
zXOMxSbPMGpFDkHktSyr8hQZOSJvzo4he5Whxa46nSgEve7HhH9F/QPdggoCwytuKIhVWUoz4nnS
ub0nv47M6R2UQVwCmTF2ICcZFXzprgUHsaipZXU3F7FdEAMvL0Qujm+aiS7CEcgfKHs92pfjFxHO
OC5umHsLonH9HwzOSKBUqHc5xcNI3lgO21Jf/QwPXWBvIsd8AlWaIEO0viQTHht5q6Wr5PLjZZXO
omjGkoiCW+F7yI5TK4BAN87amvCehvIQXg4405cgLfRspoRJsZtKrHqVcT/9hLBf/6aTrNx2Zah+
pU1u70IWS/dWHrf7OFMyP4aSzDYs5GhH47r91MdQ/lHFRbiVFToHsWRgLgcPOm1T9DQMRqp2e9mc
e8gfWvn8mUwYYzPpmMI8Rl0uHakioNya4u7YshQ20pily5pOPTaTJZ3qCg2JjkymeVMpFf2hxkp6
NLOufAzLZjzoMWsfUqnukJWKShudDJk9BqwDQReV1Z9kTrrYxyxhqDoqrtmXrmMMt0LP7g2rBqcv
M1g8u6WGLhCwMlgNceZiat5aM9E32LjhCVcK3SlGpfiYMItmp+uIvo1K8MmhNFXVB6Zpyy/D+F1P
bMNTqy7PwSIUxZhvK4agMo06kPPBxsQ52rG3KBUMOzPMGHXlOdJeaTqT/WBCdBOjg7nGfEx0TyUm
3mT9oJaYvqODPcZO2cgNZKuxicGQYRTT+B/Srmy5blxJfhEjSAIkyFduZ9MuWZL9wpDsNjdw3/n1
k/RMt48gxkHY89BxO0K3TxFboVCVldksytdJA351P/TQ7+jRtGMHqTkku3yxzde8i4E5UFXlKcUV
920JrfC2rUbqK1pMekhNUcKdpGMz9QiP6OADR629kAWy6FM0mSee99obWmv1f2iZqHcj4ymayrQE
b8pQz7mnFCV/yTMTbfuRXfIfRWhMx5Qo+XOqDcOhLDTQKY1zfo3/vEevnlW4HWfkOlRmDQVYEh+s
SU+v9cSovaZcIC1aoyz0Yte6eT8WkZ06dt8QSBNTi49BmEcR3/VVrB9KsBXfo1egDtBnYqO7hpD5
qIzF+I0NseozpUFRyVLKaDdqVAWUJjH4HejJ2xse1im6Zu01zLGn6DHK8uKhLBaz9NIqrg59Wddf
I2rGKLJrzfhGh1RpHK7Ni3HUY969phlTghStJcewV8lT0VckPNAxS/Z9pi/32kgKNELOhquECrs3
WB0e0EVroHRPUcP3674ONccsUDxxaZrNw4637XTPq2GGACO3w6vRUPK9GSr9PkwqBUTiU12+FwDq
PBHMS+zUcaM8RprRFl7BBv5UpnR61KNO+2ZXdupG3AZVdlqlxVNBhvrN4Mg8OnoBCLkTZ3H9Uo7c
vg9t0B45RUXIrldofrLGCQCNfpgCXrbjk17PeuNESlP+nIZx8jUgHp50M4H2NrdQVHZyvZwqHy3C
8SPJwvQqT4wYssB4vz7ps64EZdiT2FFLlYP9NpzGZ9JE4PLmeWM7xWiapxH8YTcR6XCAS9WYcIrA
uRXn1XAax0z9CkJq6ERmNcWnG1aYe/NQspu8QeLL0bDLDnWYKHAdZpPNuwQ6T0faKNndnC495BVo
XB9qNF4FhdEhr24sEHRrO2O6UhB7/QAOd/xSgZvlkFvcBqANxQL0ncZ+Ec117FVN2bxFVhjfwBv2
ntLk8zvLdbCzUqLgCVlMMdqVKsDTlnmOTsmQ4HVnz2a4A6g6f5zgrgM1bfW164FGh9Ku6sAiVnZN
qzJ9UMI53psxMXAcsgoHyYw7PyLFhIbaZQjKxcy+omNUcegc934+Z2w/qmwAxWJkDF7TzJDAUzS9
rQMGCsaAzgy0krQe/SQtqF8OmTHuKtNsbNfKqQEFD6K1tjOWSd15OjClMfIWDeArRgVlDmegpPB7
lnTEZRHLfFPLONhHCFKpRTspC1yY0czu0tKlAttYm/2MzQJqpVNZd891aYf+TJrqK6Nhtx9ingUz
5e1XEindvgaVtdsofec3rKlAsYNJjwtleaFar/4caWY5jGXlPWBi7Crq0CTLLGs5aNiIX/pcASLt
cki5GXqviTEV9zfeWWJwYKhtOLe4SXPbr2u0XHNnrj0LrG6X7Wzd2AaU3PHMAtgaTuzjZTrqKd6W
GSJXEh515R8ofVhckgaXmVjj87OITjVmdH5NMNFbj/aQOH3jqbOk6iizsf79zEaZNQM4WxCZWuXP
OvOz8naqHi7P1PaK/J6pT4Gp1eMywjAquIraeLHKbyGwq40svbv1XDlfEWHlE02PI9OAnaI/GuRL
Ovx5IsY8/30hJIQi32iHFFNV534dc7c1njXr+fJcyZZDiAPTTCcDrzCGrj2m/UtjP2bh/WUTkmn6
9SQ7W3E7LJipNTCh09eY19hVf8rmhocB5FYNhvwG/k2sKcxqn80qaHHcXDsmE4QNEkcNZY+4rfj8
3IiwGAPhI1M7GDHv87f6JrpZ9opren0wDuisq97U/eVZ23w1nhsUVibjgKyuZD/ozNJwt90t+7vh
BOjVHdl9sT31SvbI2QrWwd65ds5CpwYEsR8Ppmopem138GNzDrzHeGcp971xHVm3QCdfHtrnjuH1
JXf2LhCyFYTyqRkzvAsMBxDWoHntDrejH1muuUvvTI9BVcEZX7uj6di76mfh4or4QjVnPyKx4l/+
li00xodvEYYdJ8qcEStM3YE8LEmgAg6isa+6/bL23GHoCsSI54AOwWW7W4cCEGUbyHdUhz49ZsE1
H5faihhU2l095Q5vGsksbz7PzywIzjzqKz2yV7ig3c/fKu0HeMAcWw0dk6DilXwHoegd7WS67Zv5
FehvQe4DiAhDE0tebdqSVkt/La0O7k3HQOJhD7kciKHcJu+X51BqTDiTdcvSflJgLLOQW0sOxhD0
OPyWESTxfkpeQvojrX9KjK6bU3yon49QOJdlkyL5n8MoJIHIvvmRH5FWdul31UMH8674IjG3juGz
OTw2DPA1o84nXDJUresoVFZwyX1zRTx+eE/c6LpzWO4krn4XBu0BRQjrJrqVVau2NhBwWf9ZFmbX
bpY4Ctct2vCgOvCf0ZX6vXlOpYxAvwQ/Lw1RmNHCzpKwiWEIrL6g/HoOll3igM7foY75I782HuJ3
PPdu0MJs3jRfLMk52cxSAMEDljPQDgPMJ2QpWjzqdFphQa/Lh+7WuqMVSK1qhFkuerbd9Ft5N5/w
qLa9/OVv1vbMsuAHDTsu7XjdSt2rZTi3CIu1nekR5pTfrdiZg8ZJvPaUvKe7oQAfi8T65kY+sy54
vkQhSoHAOXVrdMI70f5WYw5/Hj00ou6SQNaHsnW9AGABnVrEsCvO4uP1krQxR6snFrkMb5LEGc2g
q3Zjex3KSktbEc25IcHvDXMz28MK8FWap755JdGhVyVbZst5n5tYP+EsoklrbNdkda0LO0w5gAsa
+YuQBmV21JMIsSEnLxyJ0kbWTl9xivZ4Gmc0Kfm2IUkRr1GweOrOihkiQF5r81bVBpQMlMW6Gi1+
7JLM08rEJalMAHpr7c9DC2FJajxD4yJeQwt1R9H621gONe+XbFfanmRTr2WeT6MyQPAF2AUUOkSd
9ZTnhjnkMBXep7dM83H/DEeok+g++RE+XDa2tdNWnuL/syUGtrpWhXUBMnR30DyL3iw0GMa/iZ0Z
QRYfBYSVn+jjTmsmU+daCDAd9BAMGzSdMqWMzV3w24DItciLrjSteC3pDF+KMTDjUxnuTCIJZjdn
ChBmtBJSDf8IB4apSVG3/VoqYLsxCpQ6c9CEfXk1tkYCQhZ0twLlACJ3wcGU1WKhkxbQkTgunBxY
InN2ODT8Uv+ynS2MinluSNjNqpI2NO9WQ21XXSEhnB0LJCR91rXtHWvQddYMEGwZTDQbqlrrmYsR
cDMhbk8TWby1dbJQjMOrBwhUiM0JdxfvyFIuOh4JLAtUHY1Y8UOknjp03k2aBK225fTOTQmXVVHp
NYIFmFqbdhJyP8YyKNO2BRNgegQ6piaGOoTznKVrmaVrd1V5QwbJYdrcIShQ//v7YkBTQDKmmfD7
dfEj7VMvKpDptJlPkkrihrYa5n6xWoDgUAVIRezowkYEZANcza41mB4adxCNKoER5U6FfDNomYG1
Zo4eJX6UlVdoSrqZkbdf2h5ZbTBEoH+eLKqTjPa+12760EbSWjIXq+MQ/eRKu/HvBwqbuBvKfunX
ueiVF8u8i81jHvsxqLi6Yw2aQBnAcnPqz8wJDgD1AgQ7CapbGfAebdKBYXJ29XIfIbl7+XhuuZrz
ga1fcnY3F3ZqKHzGwFJ0LJAvnXKjqhIPsLlPLWhAIRxHeVXcp6NSrPJQwBOm+lWcaai5S8FN2/P1
24SwVWezpChgYL7AcV27ce72N0UQ+aDz9szb/qB4xc/kqX+U0oHKhibcN8PCYnAYwi462JKb7k5X
HBRenB/qle4paBSuQPJ1eb02PdjvyRT5MJKC2yXQmUD8JarL26eWBQV/5e2Vksu6yzYryOaZLcFb
hmPYZTHoM8GQtFyRE/GQX7+x3cpPDi1UXEGXBoo/A+H/wyKphUrm1RacZ2ibzVjr2DJxUu3LNLky
Kf+LO/Z8cML91xJ9ntIQE2mb/a4kIyoPhcMZl2x+2XoJjqMesoZqoN+APosCbIvDisGpM48Oj2PK
vct7Y/ss/3cKRKK1uVL1eTAxa3pHPbP8kpuZY1qSefuFsv7sCn9bETwGOm9pq6Le42bP9hW9nzw7
CNFOPX7tTmHAj8PD7Mi2w7b3/W1yneQzJxWqWsLsFmsVQZgI/TVNez2P17WJxJvpFdrOJsHlmdw2
CFQ9AiPwoosuS+vNZDJ4jxfL6wj14Owqu1uOIEB6uWxmOzayIeRrgFjX/tSSV6VzNlIKOwwaL/kx
nG45usd07cUc9z1gGtShmguknAN8kcSRbG6WFb6PwiuxPvVcFtOSoTgJ03F7LPrYVVHljdOdZICb
2//MirBZhpRlRrxaaX1grB4NZwmSY/VSVH5kus1pPtSP6RdlVbeXvddl4xP2zECLWTHXW8e2dinb
NXmLltG/cVNnoxOunbpIFmMxYGPKI6Dl4fx7yZHedIRnFoQLJhqrKlEUWMAyOqECDjdZ09dnkidk
l9GABDgKlNCB+V8n8uxw5aGtL0U3AUnjjrvkgXtGAB6zvfkclMjoDNfmaxLEuNSsoL36AiKuveQh
stX9++EDhD0yGYkFdCs+YPKuQ8/+npyaA1THzEN6QxzFA2HksfQv78vN8302ZmFzlAb4R8ocXQCF
lT6liIGcPB/bK8iHQ0uKzChL8vkBMIU3dCMcLpuWDlfYNERPps6sYRusyQOaqT37Fhxnu+S+eDGu
WewqO2o7mp8ETLKXNr0NpMORI1mVlyCR/nGl62xsU2td6cSI7nMLjDz209jWKFlXV0PLwJGp3jfT
+9I9o4fVp4pMG2ldSPHmYDo6PDQwbAFyKly5o5KPeqNh5HmqZWmgslnd00Exfti8AjeFVWpfLs/1
lg/AxjaBf4NGGVqPPw54SkatiwcMGDSrWgae9uJ2AbncZSNbLu7ciLB9YXtKKgojMfmeMOA29hwx
Ud88tf3zZUub83c2HGHXTlM9R0OPl3Q1QSRvBKIDYCnQwLuk+3rZkmzihD2KcMjkwFvgaWm/RRH4
Qh6ZVOJ6jR4/7QZQGaHnEcJ1yN59XBwKIEWrrMe+Zt5yRUExnF8p/xjH8ak/xbvL41l/67MtC/VB
oA4Q9Qm2dL2uQQ2Ljo4ifGMgwGLAtFVAOUGU3H4jSlBH75cNbk/gfwbFHgSL9+hkBFk8Hm3ENyfA
PU3wsgNYddnM9pEmv+0IITpUHnRtrlc7x2Zwn9rU03+A4XMApjPqHC31/phJDrcF0Mz/ziTVP65a
VRpaoxfrHswCs/Ap9Qr+SKjEVW1de+dWBE9hFHqZ9zWskOY1Rzq/kiRzZb+//v3szmOJuUxRriI5
M7lpFzljKguvNnfcGtYBeQtyJzFROKQth2CjhsCHPTbd7KbTc6NSQKKA5jokM8qliWQvbPohNLah
gRt0veAH+zimqCsZ0A+waGtXCWidizQoIrBY9xoyCMHlfbc5f2e2hF2gW1wxjAbzF4NpR0GJn0hc
3WY5f211/3c0wg4orLmgzQQLNVqv0mPVPJbRQwNixnrXA+aGLEJ61KJgBDBPQwNTIQtK1hF88hio
Ieqg1detT5F5OOamBtlJpPtjDbKLORvmLzRRAJtrUqsEkV5YoAQ+1Q+cmfktuJay0l2RlNca2Ewa
B4gz2cnbdCloTkdftgqpATFOY3o01m1I8EXDYwrG+fHY2f7lZZWZWC+gs2NBcnuuE04RCqbsJusL
yEGlN0WTS3bq5tk4G4lwj+FyGaxkgZl24N3JYBBlDhXtmE6rzKWRHi2bQ8M4jU60LmX5rs3wC5C6
/6ZRuNrGptJm8Ahn7gMkXIxb3Q+/Qqyh2Ksncg+JKF9/gPPcy16wm4fzzKpwAY1dnxhDtQ6ZrFza
QZM9lvGuhDSrrJV+82j+tvQr1Xq2hmnaDlbUwFIMqZ+GQtVORrUu2SWio2GkZKwpYYFTvKmqQAda
muYSbJ1sGIKHsSetAvYXyzRozwzSINPj5a2+uSAWgZQ7SCjQ2bIO8myaijQtJqNGOS9Bel413Bwc
bfxaCe/QenTZ0majG55neGfDn6GtWRhKxrWUQzcWV6Y1OyE5DcNPHoKb/kZpuNtBsovsWf51Dq8r
4w6NUBLrWwNFoWPtW0ACxRRDn4Jm8ZKUqEOM93ZAd+XDsi8zhx46/wqMykAUOVeN20NoWwJc3LYL
iIAF8SAE3+vfzyY4NJUiVULA2HAVvjUxmmanb2gJuJ2MJwIC0suj3PIoYOIBYwWarimS9B+NlSXy
G9banqFT1Z2WU56+T8RyjNKNi9OQea1MxG7TILTyVsl3E78tGFQqhCgV0qOA0pSnuf3aWkiDTjex
BWrfMHpa8tmLwItweZTrj4p3EoIGa6UfR6uSWOVmyNewQkN/fEbRxJMd9OE0D7LAZdMIiD8Bs0Jz
JhXJ5qCv2KOohFxbA9GjNgTrcqzu2sj0L49lE0gGDImN4aA/2BBhJM2oZ2YGNXk3T/g1hJuXGYn7
pr0hpumjGSuI6/iOMu1hTqE8xd8uW9/yLqBusvAGhm4uyoEf94tpL4VZ2+vbA7TbynQ1lD8uG9ic
RWvNMOC8o41UMJDptJ5UgvCBhctuxbxWihpEgOxdNrP1IrTOzAgXtkq4BRoGREk6A/mGjjayPOjT
R/oXnFPmuR3hMGulNg7goEe8jBg2Af4uA6hTAzuLDOu4ea7OBiTczokVmn21YN5KXQXnzRvARZQ/
dvS2Z15RJvvW+gvkCEI8XAPWqoQiwjqqsbfVpoZ7jLLjvLyq5l5r/gKXDBZigN1BW2JA0/vjZlNI
iky1ghyonaaQ1QQFIe5mWQlsa0efGxEuGTNbUhoXMJKb1p1q9vd28XB5r8kskI/DIKTIyzmH96lB
2qxBbZ5LlmLzMQvUBuR4KdKQANV+tJCpcxKNDU5la72oJUgQTrP+qPRf0vgeqrzxtXKNLPgie0Nv
naEzq+JLLUaszY01fzNmC7qhn7uGOZXlQcTt8vytW1f03ud2hG0QNeo4FRCkc7XaLHaJPt8P00uz
2Hfm8j0HUQnEh94vW9xyQucWxT1RZKTMShymDOqWZpu7pH/Iav+yEdn0Cdsi11s9akIMa7B3SxY7
i+nUzCGx5MUuM7PuzrNwomTtSCYGMxVenHyandx878Z9JaPx3gTJnk+a4LnprHGmA47gGsjpR/Pb
EmLBrsPqoYEgbpRV0FrXEcn9BZgD5SaI6qAaBB4wEU5upxFaldbrkA/qsSvYzdA/XV6oreO1VrRs
G/+s7k5w4qFRjhO6JmGC1Tf1mhaoFieJeydPCdrHa6TDjowU3mi8TtGrXv0FiR2wJJCTQIs1uHdE
/jxz6LU80XGJqKiWj+UuRX+D+s1IJOdsY9d/MCPciahwRDRjMNN1aN3rptuO1j+7QqYsvnGcP5gR
ZrPrl3pIVpIY3qbXFER5DN2u9xOzr5sSEh1ID1xevo2bkeHdD/wEKIU+oyhSaJ7WaYurPjXrZ6qX
ftz/jEOwio2P2FLoBHu3oe592ebmGM9sCrexQpXRqDt9dVleszw22b3jEMiQpp0ELLW5ZngnIK4F
7zv4QD6e7qpt8ihZDY1zueutOBiW/FgvkeRNIjMjjIdMTcRGFWamblebd2kb8Hh/ecrWLxW8PFMt
SHsAcIrDLCKZurCuigwtj+4wogsl8e0GWSu0VudOJyuubo4G5A8gakRwhhLHx0mzVSg79KupKR69
3tyTCarlsnzJthHDwq9BFQUEvR+NtDlBc6thIesEfglwM86gmjAiyc2/tc80FehdhOKYNpFzJYom
XYl6BYj2VNuFMSobKQXxPJ09e4CIKJ+QOE1KyUptjUwDN4KFlxR8kviES0cTD+MqAul+Z6mu3eS1
x+xhDBKySIa3cXeBk/a3JcEjLQsz0U6K4cU2BfUSvYIIxiEqYg83zeHy9tsalA6kFVoeUVf59BAG
kWXI7QxJ4Goy/VEFV3hq+nNjS27jrV2um3iHYq+beMUJl37NepuXCVJAdlY4ybyjmEXrZDJnToPL
A9qau3NLwr0fK/kC6ioMqFAC8DY6JnsfbH8gj5fNbAS37NzMOq9n4YWm6GqE4cKMsdyy0d6VZSVx
4NsjYXi24yhBZkg4STznDCVRZLTy4ucM7iv7hfX+aPzNBgBT779WBBeXZBqp4zVL3Fd3ZQ9tZn+a
dpfnaqsfjYGoFJkd8DZh8YXJqqYhz9SV1itHKx//UV0lD/PxSXH5adobQXNKDuyIeu4tyPlvgF4+
3a9UI7JukK2dfv4RwqFK8tzux/UjuvlmMp6VPnHVVrJkMhvCkjXT2ODGhQ2LBjR6HTWwZMsAfVu+
DwV5m4HKHSywYupq4noGLmncSWC+eK/y+Gog+SkjacA5d43aciwNUjqXV3ArllgbJdbsHBiIxEjM
QFPW2EUYVzJU4KK5SXFt1HnptE3kmpUP9o5Rlrva8hjnJoXlGiqdR5UKj1Hn7AaIOFcf8+9DpUGW
2QoGlkucu2yEwsrRBsjo0MSszmVVuh2d3sJKaQ98aF/LQf2q2lHph4l9kwOPLJncrdIVOgRUsEuu
HC74n4++JB3itK5mzC4gZAFJkgO4tV1tKPyBdXtcNshGph6IlR6GgQTAj/pW9KYq0R2PJb7gs8cB
9YsBOQco+SCyEvOFIwePQwL5NJf3NigGDkn1LbVeTRZc3k3bO/j3bhJcjoJ+4olXGO/CtGmnVsgX
guJz8HKmvE1l+FUttevYkFVUPg8OVRp0Fa3QNVC5iGQ50ZLrc6WsV9B4wmuNTJmzJG4T/rw8uK08
JeyYTDPXFibgAT+uJgXrxwSmLTg73bxWM9OduelBAGpXK+kpz752FqTfQdphRPM+Mvrvl81vHps1
f4jENSjyCPlo3RyGoQHFE95M5fcuy3FSkkCPBkQSb2iEk+zczSk9MybctcRQkxBU28iFgU2+Mp+z
JTvYbRQYyt88ZvBz/w1LmFQDtBWp2WBYcwz2IdU6sYIhHGf7fipv0071mrhzrEXaiyIb4fr3s2u+
wCeBGB5247Tag0rYTQ0I8YGGAgTU19M8u8Cn30XoHtRTdR/23WNembcsGTtH6fiuznpHg2zCXyzx
b3chssSBeoY3Y78eHxQMeBzYkWdSD7Rrzvx+2dLmQT2zJIx+ZA1YFWOMnk7fKHFyvucofgEkEq69
ooNk625enmfWBBdczqAHI+u4oIzmqPNriPS0Fsn2rMyK4HziMTMUg687yUADiA+aFAdBsGSJNm+T
s6Gsfz/bNqQz+lhbPfrSd6/E7q7i3vSG8Bl9jT41Ez+J3wo0x1xeLcnITOF5Bw02M0S35Jpz1z1I
Z0ODIdlVSieJcbYiX4jW4RUE7nuI/whmGG8rw4bQpxsxiFen5h6cSru/GclvE/rH6UNjTzJFCvxK
O0THlMVA88fP4bJIzGwe7rORCL6yJF1pdTNGQufo0LTVtTY8aIUFjI9UBnj9KfGVj2gNJKHoNASo
TJg0anetQmIbwSfo1afJWYwHDtZz8szo67QEfXhrQMGdguqi91tZx+5WQRlY3d/WhfmMEZa3tMFA
dSTSSnpvxsfYcsfqBLka3r+DNAinAAqBgw6I4OhfXsxNJ3JmXJjllo1136wJgTIBz3TqLhDsTnov
yr8UtkNlLD5b6dgPYxXupCiKqzjHk9aNlxtj8Ctg/o1htyQNwrcHojxw3ZtkMsCbG2nFQq8Hgnzi
7VRsPqp2CZtVGB+KZoCQWesXlrLrMcTLs7l5v6+0zOCgokjNChtpmI18DnWkBox4ACRR85We7jge
Mgt9RWz5xwEhmPMRzdgqU8HoKdZc5zKihkJLvCsIa50m4z+62h5cPTITZ9GNL5fHtplwRviJDkJw
MUBQV9gqUWlbrWrAHICPFGKt1VXX1qVndNF0AK2tuetN8r1L6taZrL70yATRwSpcHiG7KpM3+zzP
CIVXmn4EUag1i850LBvSA1HIXWqNvj5x8BNkXtxSh5Ov0UTdyyP/7Lo/WhMO6DLoQ5o2sNYt4CfX
dZ+zu3r642TmagSs+4AErFnh9SPOLiU9zqaI2QlaV/Px+ziZ053Fhi9l2pWSZM/GaLBZUKk3CRpV
DLF+aVAlnhAGc9dWvrUgHesT35RRBHy+YckKowARsgpogyWmGbV+Gjl6zXDMzXceHhYOKZ1Dw0BT
kp3K8mV6/uMFWnE/0FxBxgUZR+FCVzsVabhohsjo7CvW3rAelz9HSZFzEyIOq9JHQ2UVTDT1NY++
1hCKL4I/HYXOEJUAWURxxD7p9eh5RyYE7NxNuX2kPbQuanbNpRmKDR+M2vU6VSt+aJW3/bjTujQa
oMoxoAyQPFjFWzXcl5A6mgcXyMu48FtFWUt+l8f22QfDJpLb6FcgoI8XARSKpcdJGcJmmrta+5hY
DQSWDuUoY+KW2Vn/fnaKmN6nEQhBET8yt+sf5yJgy21DX/5/o1nd05mVKh0hd2hhNAY4fmILDffa
I1WBbXm6bGfjqGLW4HNXxl+ohQget05iSGB262j44zjcF+ptLdNV3PCkH0wIF3JsVIttryYm9h6x
g9Z4UQlA0s9FVsf7HJjifKoQtUBfHAC4IoCsA1GkMq/NG1N1HzX2g2r1kqrTpgULT2tkynE7idA4
oqVxmIQoqfWN26UvlEgwjFt7C1J0JhQ1kaRA8eTjqvdxNbfTr/IZ+9KSgISlk4W3Bdq5L6+6zI7w
BtKnAnDXEclrM/cizp2IgcgW5VwqGc/WfKF4jPItMr8gAxeClb7Da6QykVtu7Fu9/IePuuTe/JU5
/hhXIyuAxCTYDMAsBFzOxxkzFVap04DXXHWFnqjDNz1ymFf74bd2N/u5ozrP1/qRBIaPjtPFecnR
7TAcIw+5AgfZEOC030I/AlIEelW7y3O8QXuET8Mirqpla4VFuG4b9EcWc4HnWG9UTjs9qX3oxGCV
QhuL05TXtv2Tmul9R/ogS+/Vod2jevrU68RTtQYEyyXcVy17/G6cReT2IC+DqwY0IeJxb3oetmDY
xBPR5Kdw6U9Nou1IbQQzjuW8yDj9tsxBhhanEgUG7GhhCsoSegEjwz5r2qX6OrMQ3KH5YjHdLTlv
uZPOGgVZWl8b+0LJ0bVK6cCcZWLjMYK+rG/3C7ccEI2UBdQ9rZVkOR3aLyFyw3dGOVDDu7xmG94Q
VzCk0gHTRHpdLCuCu3bpiDJyN1n2M31R06tGBoraNAH3YaogwwBgUjji8aBrzcJwyw/TI4p5c3aF
ePryKLauX7Tc/LYhHO/ZANE2ONURfzWvyzeK1QVa1/hHT771wz2PGsfoc4nN7WERuF4bnT5E3Ox1
1fW0RGLKNZpDFP1MIJRN3i4P6/M7EpsWUqD/mhAu3lBTrRyLDprO0B+VffazNby0uFlsX2//IoA9
NyUskj1HPKY9TNkQpY60/Zh8Q5Xv8nA2zsaH4QiLlPXz2GoqbNTJ7CTcoex5tnLH1k5E5iU33P0H
U0I4prG6CbUKpsbyu6Ycefuzmtwx2l0e0OdtZ8ERr0GfhgoRvItgJlHjVukhB4mXN58wpA5qXJBH
sJLknywGZJfFlYeLr/ARPkVezcbm5+Uv+LQJ8QH4ATSqgv8c18H697OgqZwnveIdPkCrh8jB/xkl
m3l8D5VWJqH3aS/+soRKJpBReImLLIxrjj8FSqhxbRq+FHwYXBvs5H6HxOVkACwPhKjTGGyW+KdP
e0YwK+yZFKWpkGgwWwNyCNb3hHk0405chE70xwSagi1hNYumQWeNgslMWtDWFVjQav83y/XfJH56
8DQosKWw4ybWDci0nXE8NTJE46et/3EU4lPU6lV7CTvMWARCl0YBek13SjW67epB4jPW+fgQiayW
ANlAEKLp640vbD59znhPMZoMCHHWTyje4bqynxcyu22S3eVN5cxtLUGKyKwKTlE1k9gIaYsdkR5H
qC9U5hV6VJxZc6eV5KgK4i4PLi/b5iY8G+j697NTpsYjU1EWBQv+oHtVqYEztn/MitpTDQXdKbI4
anMFz8wJez7pwWdt2TDHjRlCnwdzuK/b2SWyi3nTjo6lQ88NuveoMCzgyAptnhHYm3Z5ikPmGkPu
KxUIUQpZi83mDJ6ZEoYElhV7MIYOfqoFn8CbOe2TbEKNpXAbU5b73baFVzFwNwiUxad4r1tjlRc4
AAbpLWcu31jMj8gwxR5ybPuGSpuX1pj+0zlYn+H/a/CXJufZ9jCY0heDCr+BFqODWtGjmbSnNlIP
Rf/axfUtOkkc1JSu6lzFMeGHy5tz8wpYC4XgdERqSHTM9cTLkCPfDEWUyktrSNAu76ERSvzw5l45
syIsYAkRhb5LYUWNE0/ph4Map0EP0V1ulJIDvnmrgs8DACA0A7BPeQ0LTOtNlMOW0vn6wKGrCTgl
9/QIegfUsSIIfhCHyvguNucRnHcoZOMi/3SX671Z53wc4VdmSMCYY+VoJPVMpZPkJDf91287IpZ+
jpUxzJWhccvMdjn5BjnasYBqMShY0JFsNN8Nm/qXt8i6OJ826JlJ4VE6WXphKAQmORbMjj3c10Pu
tvW3VCsc1ZSsn8yamNm1KnReW5hIOjp6+BgpD6Z9HdNHpMEi2XNbNpnCY3g0C5MWKmyZQ+0viofc
VLcgGHkuBvQtaV6G9+7luZRZXBMAZ4c9g8wJIH+wqAHH10HnIrUjf0QOO8LJRjHyC0+mWzTo/Lhs
dv3ZS0so3LVaoSWDVcJsBKxKXnMvBrPxZROfuczW+xyhJJiLKZAcIpBCLwDmZsmM6ES5iofnpn7t
2hOBUJS+h4JIU+xzGiwLd8L03lKhIYU2QuPE+gOB8GiU/OnzSvgYYZ4b6LcMM8eAB/Mh72e/yk7I
6EmMbM7q2YiFWeUE6Lixxoiz7Eiaya/nzrs8qZt+Ex3ya+kKPKViFx3DUvFuWODLMIXa8KOl4Upx
ZtWyeuum+zoztH7I+b6kJKzSGobGqnPKAeI65FkzJb7rsxEoMKEFAx2dUNRQxdiy4ZrOAQCGI0ES
Q4F0U9nTAMzCf7wsH80IHkRhSUQygrUHV+KAqqIK7Zakk1HBfV6aj1YE36GA2KAbOgzGWnQvT58b
6HvV4ftofPvTLbDaQZIejaKIEsS2FWuqjJSbiH1oZ+4ghbxvbAYprrHbjaYuy4R8dk8wtrYxY7Np
2NmCq9etbKlQiUK7MrZBPD+S1LWYF696qKmPtwdOrcRtfD5DHy0Ki5XHxMwiruI+M5cb1jZOZ0f3
l2dwc9ut6Iv/TanZwt4e2IQOzhmDUgh/L4qRvmSUhbswg4bUZUufY0cUtNF4gwYLNL6iG/HjKeKV
skzaTAF6ykpoaO2HjtzQ/+HsypblxIHsFxEhQIB4Zant1t13vxC2b5t9EYj16+fgmGlXqZgi3NHu
fmhHVKItlcrMc06jOfwTadbrpi5ZFoD6hp7B3F4KUOUF5rFtSi1luYmwcXTVjw15HhztsXSrG/TO
pQ73+o/QbX+oa1i+3yn786vk3K60YCqeZmw0jdq1nBd2yI7TQ+NP993mUYVMuuW0TrFt8b+t0LGd
F8Mf3O692So+8wwfkqS75E11TYd4tlseS0/4/bv+dX1mtPkLrn2hdDJZWdaQKpu/8D7aRi/Vu+VH
LvNsH19wU/k9ktnTgTnaE2jPoq3urBK+XYYw51M07/kTZzoRUEu3Az4A6ox1/a6aL2qyp/nDqOOm
WNncC+HuuTHpEoqJFpbKBGNa5qn0Vjf8EHJhBC2/9SaonuvAn6oVl7S4zU+2nnSgxr5LijjG1ptr
bXqLzgYLwuil0wU7a+0GXJpL3VQJam44vxB7PZ9LQAaCrlQsHKnSGRTdAb7OGTvQ54Wd19Y3az3v
l82oOFan9qTtXcQQQk/AvuEW6atA8wK5y6tveP25dnmrjOhE2rDWbdZY4pf8LnKBwHng5QCycMlx
DNWgRGkWYMcM91BWVGLbyUJfhTRfii5K8srW+lSWfCKd+1OQeUT1Vy7P2zGYs0aoBrgi3fT1N6t8
G4KVc3jZRIWpPLEhp6u4oVWaqBXcXHX9PBWT17bfuzT+RqH9Wo/qg1rRm8rIPMJ6YMVCP53eAd9Y
ccmXLTLSV0gbKMniCJ+BkfZ95VbGDx4Uj/lQblTgB2PtbepDPGWOihJv665FKSX727S1ZF/aUGmp
GrldYBZMoGo4KNEm+j6pRyN5sIYVssylXXQ64ZLjK4uu4laDoRJkO+sKEhqWp7dferNBsJ02O6v7
L87n1KLk6UpDT6xmgsV0fEn4dsjdsMwd1Bg90b02VuhDxLgmf59pPd9YkssbwHVCp9nqYL2WoHKk
azHX2kRKDo7lqtE0FQw0xRQ5IUh4FLCgN0UM6Ejp63rwViiFMxXG0/Wra8nZnU6n5AaUJqgqZtlw
AzqEioZnmkJWR1huFf2TJPv477My8zwiR2KhCw9aM9J+mQTgrhnB1gzzX73okIxxCojK/DVH5O8T
8MeMtEk0HnSqNZ8AMSW7oBlvqaA+0fjK62IpID8djbQrjFiEpNFhhjRPRT9fSvqmqFwLDbfXV+n/
cSl/BiRtD50HYxIqsFRHlTtkwjfid3PyNGsLJStoK8xPeMOdIk831roZF++nGcbLwCarglVYcmds
aNRyomHj9pnR/5OndNjOzBT7orIgatXmQfekVLR5h3Iu97q6LQ/UqHq/TvI1NaalKICqGjClKgXn
Bpk380mUo2dmG1t11Lh5R70oealA7oBXAqW+Fa+UCn7XAuSQ7tTWfGBPbAWD0cVpg1FbdeuBZhI2
YWxKXjngIrX9meujh2HeCCPdcs38tKA3StDj2Q39kXS/FJZvsP33Gflpq5ELePRWH5RtEgdPvE6g
TgHFdXsNKLo2P9LpUqIqRdM3vlkh/wzFvq83lXJTIolL1t4Ca5akA2ZDOi+JclhiduiWll9ULyX5
CHnkl+DFub75F13jyapLpyxEAotCmBh5+GwjanCHuAARg5m5cnIjdpX2XY3frltcjHBPF186bohe
FGsycdwMa5sYe6X1gcZXEtMNaqhWPNoj8kuts2J0Xp1rO05yxTZUd1thYU716tFqsZuMm6x5zybV
b0CKWNTCaeeU4ePInNo+QJBvxf5igAZKXQPFYeDLZOw018fAakTcuIZ6xIXn9mbrQKloSu5wzKv6
GwsbYN6f1ME1+5fePpgEYNc1JVlteWf9+Qpp6mk6tlWv4Sus+3vzE+Cdbe0lezQ2E4e6AtGb03tk
X7o/KydyfqFcSDapp2wy3/amz+szsng3nkyItCAqn7oaHqdxBwWk+1r/DUkM6N0Vo9cSvjdo4w2t
sdYjufiWpCdWJSeXhaEdNSqs1p7lFJsocv75Zt/FTvAV4RmJ5n9MALRDHMA6geLaK7th7cG9thEk
1xdreVpmUCpx09oB8NjtI6+s1lR79DkKvdzu/y60LSEqSyTAk8yAFTCR5X670yB4Z+5/QKf+h+Ho
X6Mb+tV7oDjMi/fFofOFg4aIT/3pp+rGm3KPTgkv9dYP4cr+k/NRbSN01s2fFQ4q2PPryjQ2QRqp
bhnWw6vSMfVJBZlB71p9JA5NGwPIm+Rx+w9VEwpp0mC0f4ANJrnpGtW+JSJnwgkLm46P0xCIz7JL
+VHtmgDwNMtontCi3W7GKAGgROtT2yttvGxFPCiQi6wqu3WiiAehDzFtfggTQ+xAWqrflFA+dwhX
1MeBtOYzsg8xkrWWRXdBVLH3vOmDQ1qHY+igubb1cKSQ8db76a6w7GybKIO9bYqm9LmiABbM2uKY
A6jnIbmMFrO8Fq9ZOfaHwLQjd9B4iQy6zYrbjFH7vgQM9zvU7dht3k5VC7VupiUeKTvL3AQGLQ56
NKQbI7CIV6Dn1IHoD0WKt9E/Y5G2DyW2du5BHL5CHXoqvEnk0YuSdKYDYCt7EFk3gmiI1m3jmNOk
7kTFDCD3xGj+JJjAm4iHhUCGsCWh29sV0R1uR8MOXYfBHqI3FphrE+j3tLZdv7GpG19Avccf2DBE
9w0BHRj6ddU9R/LTz/qO/Iq5hsbnsiafndDsfVdE+MWA1fmmGi0Oce5RFfsaxahDmFLySII+1D1U
p9hrRzpxG/HRrDzOSfEVTJCuDyKzDWbQlb5TWV6huTHManpo0URnOlok7GKDVBZtnToIjBzFprQd
HJSDtNFhiQZevKEJH2mgQVK9rLLgrrFN7QEP9Uh3TM7yb1YdBg1YJkPwtTRWraDxjlv2jtCCPpAg
FYco15Vb2xSZcCsCvvfaDMZfZmNSt5ySQmyvO8jf6fNrZ1h6adIJmcKU4LBot/ETYsFvifeQHgLv
Jwgkttp9uY+99/7G2o+byIGI7Ir12UNcsy6FO3nUlHY3e0q2/dEiqbaLnsFnMj0WjvY5+cxPHgH6
tI7WfXBnzX5zDeW/GJjYwBBDeRlFWLn8NGY41jRMMXpRUkeM/NakE/ODtv+eJ+xnWrdHq8CiGeW4
vz705Zh8poTGkQMpiHxXx1y38moAS3ymNptAB7NjyezvacTpptY73AymgqBTQVqWZDx2FBWJpLIs
VhIN8118sQAnXyHd1ZaoS0ZQ93JRk7oLlGFLlf2UbyGg7l0f76JTPjEk3cQdWlcVFNcat+Ut0r1t
2jlVEhwNony2MXO6Vf64xQgQrcFQtAf7KLpApUePkqW2MVDQVIr+RseNMzKvtp5V+GYR4mnjdcNt
ssaevzRKUBPMfDkId/FExnSfPDmoGLU2m6kxSf2jsHDPG+9mbTisfTfWOmmWx4dMnKnpDGyZ8kM8
jCDk3dSYUZO8hAOQ9jcGwNJK6zE0q1l0E3MvVteEppcCC7CYq4D46+iSkIsVnR2HVSeKBs6oQINr
chOJ2K/wPL++WxbNAP4KQYrfSCDJL4TtmPMuQCBdTrs6tR1TudXEr+s25geOvPWNExvSAwhvXyg9
arARWhXfqLXo9jwNA/+6laUDdmplHunJjgjGUW+5CitdD/Bnyp0ecJNe8+ohXHlkLW8IHUkZlMxR
+pORZ7FZVImiwJTR1/7UI8zGHcL45PKm3IMwzHQK5Nmimnm00tdc+dKKAcOHVuuZRE6VgUF4HYfo
wxYghUUjBGCgMTEdPexWsihL/hon+t8hSu5qUu205T0ekqlyxGHzQOX6AeTCa6Jk39QAhzyjTiXW
KnTLM0vNuWAGrCL2//kiGileC4C4Nm5V7wLdSdVtB9JmzZ0015wGh6vQsV5jY1+aUPTPQGwUlCWo
1UkOk7ajAvwIhmrrTwb2Sz5C83zlElq0gYY1E0BC/CMrvww5n+yywrgyM7zh2lbrql1V/XP9BCze
dND1/NeKdNASwepM9LASA3OqjhGusfSJQ1SrocyFCFvn5nUN6bXe62vjxa4L5T/cPacfME/D6Rms
ADwtc0QZIh0/zAHptyn+qejVjkDgtBZrD+DFI38yXmmTGrna9V2A8RbRVnRv8fAu4reuXTkKC60z
SFwCVw80tI3ykyVtyiCPcrVsEbtMbfo1EfYF5hXfsFJHb8JjR392HMLb4GJyWj0+UC13WJ7GDhRs
e8c2o8Sphq+KqbcxZKypWIsrlh7eJx/HpKdhYZkiDgNMeT85PL6Z2LaFbJXRuAmB+Mkab8nyPgZy
FLAFiwENeb7AGnD/QThPBfQpnKpQvVop97QoVpLFi95nRo/+rxlpIw9U7aFQBTNJ9y6q+3ZKvJFu
WMZAZwR+BmSN1wjU1wYm7dxRqAGPOlgk+eQKFmYOQ9NxKQa+EomvGZL2bBiZFVWbeQat19S4G6BQ
UoF+9LonWJw/NFfO7fzo/ZVJnamVVvEs2A3tXTx+0vc+uQvHxGuC70Ap4oJyGjzFrptcPItg92cq
YNLIN0sBWVa1rRloJXyPsWGcQaodMl63Y6turttZnD90wxqg+INukkwXliLwm0Dqi7sXXdMT3UfI
+YE50b9uZTG8PLEirVLOZgKtCRPIjepYAHu0CYXyaQk2OZrWPpYhWAWvW7xkzUId5vRel0wOwk57
s+zwQlN+itbh1jFC8YwF3FVUlJt0BzG1WXsk8bXoW8gHkPtbK82dS2t4+gnSTTjoUZYlET7B4rlH
ImOT0qeRDg91+3h9sBfTix4mwExwG4KfC5K48yKf3hNTF4A9Ebi9EbRgTpASD605BxaXx0ERX0Xc
/nXE9tsgNs3c/QtMj7Q7gdWxhpDNjCFKDS/cEK/X2yNUVj1rGr2a22DRyqEz3m+hHLIGG5x//Cz+
nY0DpEgZMDxoPpaMQ2gSQKIJHBdDZ3t1T3YKsTcWgV6OYWyUVn+d4h7cFxDN0V66KlwpO8++8sI6
2hPnLwAdvwzkKAAPmKBxCOh1+KOP0FjTrHUnXmwbjA+tCkDoWXgfwQOcr2bWhQPXuwAsgYFPoz1X
b4bCb4uP63vmMjaUzEgJFMjUKqiGYhrJW6X54av+g3yOHkjJaOiM2+vGLryMZEu654YiUoURwlZn
7fGAcGJ+b7O1Ez//iLwyeHjh9YPWN3TkSqegqad4qhsQsBbGsAHapnKQz1ZdS6jjFt4gdQqjT72s
TNEUn4jhDmIOyITiajw0efvYiWlc+6J5CqUvQnoAeq/oZDTMC1mIKenxAm6BtBx56oN2DVVa1Qna
7sbiqOdo9c6yqztghrajEdxGVvgY8b9tXpon3gAVJPAB+K8MWdXjoKeQ+QBrhPYLfKFOzu4Cojy0
dg9G0mHlzroMmH9bQ1A38/ngySEts941IK+euXwqFa8NKAke7UBHPxov+WcXm8kGbAL3IpysO00n
twlTLC+Z0pUD+nudpVmfn1p4gKvwT1BiOD8/gcGioQsiEJlUZo+HZJfrBFmpnL4odqJ5SAXXaNcb
0iK6gVIDDlmcpEjeoW182ltWUr8MetpOjlAs+p11SLqmij7hBqF5eiB8LCL07uCXnEaYzUtpx6pX
BRXSpk0hRj+czPxVMwUQrqJUX4igyi9eNHxrJ4r2ZgQB32VizL0kotMximkOptEgQNsF0uwPLfL8
f/2+RakXJet5JkC3gpTS+WyQ2CLdqMY4etrkAU6Bpq5vwbQmFnd5wM+tSBFmYBe5UWWwEus3UfLc
oiMhHd3rTuTSL8IG7jmo/zCw/8gQrKrOy2CyYYOjc2OCgCzofcA6H4HK7Lqhy+v03ND8Rji5TlO7
EAGa+3HBaNANU36G/NbW/al2+Fpvz0VgOaccQIGjW5qKRK4MuFeCNkPRBS4LVHNGcd/FnrCeu/IO
RyUtPStfeQdcPG5wPucoFvQu4MFAi7A0sAHtcVpXZOgVh2CrZj0Uxk8BytZUrZ2W6ZthTbZm0SOA
5EefEf5zo7BkEcUV2rcWns9AJdjsEQCJon0vrJeo+97ajzGI6HDfNGstApe7EePETsGTau4akYkF
+kwbDSsDYxnqZLtBDRChpPdmTVemc3l0zLaROgLZ80WmNoEiQN3P/Fdl0EPC5kczgqj/ZrIdpDUZ
9TXr0EEmulqL2S93DYZnI40JxB5oUuXnCKPCCkyAJVxTvE7t81ChPHcUipMqr6TeqWvEKZcdQNg2
aIAlyNhSaBfKTNNt2VY5RDlAdiVe884bdJekXhD7InWs5EPPgLPZqeYdq7bXz+FSqHVqVzqHiRYV
Ss8wTtaIbWwNu35cU6e6POoYGiAAmEygeC7YCmvRCy0rsIJQgq+aPe93I89nGSI06K88Ipc25akp
Kd5KyxApAHBeuCwUgNebO2ZkDsmzzfVJWxuR5O/DBPKtdQQzgYqU4vAwpB92XrrB+BWtdkws+RNI
EyDXZ8OhoBZ17k9mFsum6AVuWkjO2U92Yju28VgHzy0gDuYagaW2tB9MeBK8UsHuZcrOROUKUkP6
HOBBFkaojl09axNWzlf4YxO8QZhdobdt+H0s3ZztdFBAVHcR4CNqsmXdDaFftcKdvHrOpl1henGR
P/391J9+n7RfTd7oqREi8EAnfEKcbtzU1qPe/BDxSohzWfzEiYQ7hcw56idwcdITQa9Zo0YGZqLG
DVXE22wE27PDIwBK0kdujl6kItsrCj8r4dmzbxXq9oGb8Z+GfkiHt4INjjm4xHxcT+bP+0uOvk4/
TdrmrQYwwjBPAs9vRpJj8n0UDlC20u2XJN+YqF+lu1LxsjD3iv9AkobMM8xDfgFJb/lxxjkYmFBm
z9COSNA1AYl7NACQlYO85H5Pjcxxyml40FR2AX1W3C7qpxCOIbZWvtGjl97Y5cG9tpbEvwx7sNYn
Y5KuUM5HI4zBHuCaBvBJpkP1uwGin/bas3PJcYDcB6lZE9EVajHnw0LaHluuhLfV0w6Crft6eorw
bKHq92wNTbbgN3Bd/pYlgljGRcEHusJoW6EwFSfPZlhDDRfd2+V9qDqpDqjvSji3sF5n1qT16hMt
zJSZbzBN9hMvIdEdgeiBOqbm5PSbDtFfKDZf9wQLvv7MpLRmCXScC6ODSa3WfSJary9vydrGWFiw
MyOSu5n6JAnqmRUy7HOHZwfEwZhWh6FPcK3bWFtcMZwn1KTAO4YG6vPNkRcJzeg4z2H2HA/7Pr4T
hY42Gs8IfVq8xAl1IwA2i6/YPAbTztJrr6copJEZQALKehFu6gCQndaHUCO6iNFc1G0QUaTUKaP7
3v77SxCVoT+fK00N/GNbaDF+v0Ybho12NbXeWvxHrzDf+rq+1JflDMjlnNqat9+JO6gZJP+mOUoJ
+I/S8BrlPQY3my2cNNqT0a/jTaUfbdXXygdhHvKxcLn2ZBsfWR5tq7Ur6BKGcvY1KI2df01DsqAn
BF9jY5pBXRzeGgDKp8Rpur1ZhE7Qf7T1sDWMhyL3+uE/0B9iMv7l9pQLjgpyAg2qc/NkPAz2izah
gao8DNHKBbh4vv6YkcE2yhQodhPDTNF8xHXvhdWu4MXKIV7yG6fZG8lvVBAhgPYxsjc623fjP2b3
oumgdTzw8EfJNjHZrmyk2cFKNyf01PAYBMcfQ2gvRW6dPUVDrxp4K9WxiybcLH61Sj8LDgOdgAR7
15FSEQhxVob5e00u7EIEFglHVIlRJj7fMlaujHVQmoDKO81b+z339R+6F32VaJ1z4n2dOuEXSp/v
4pbdjCu2F9YRij/QqUE3CBSFf8c5J2cnrQUPLNCyzoxqjHm52HaDf31aF1YRPdMqEB/EgpI9kY5n
lVvVwGMF1yePUYkCOGiLljZQ0jlG7MEXJWv0tgv39anB33nXkzGZWlGr1RBg29DEyRJAoOL91B4T
fSUPvjR3JwP7/Tg9sdMRyL/S3MZ7QgnRlYhk0gDQzn9YoFMjmrQ3qtYoCnhuN4L8mB24uv3e1ytl
koV7DIK9oBye6WCxE6S7JTWVKddT7D9wBR6bsnV1DpRCH/vlrJjYJSvztnCVnZmT7oZYwRNCIdhz
mfaVokEt1lQnU3zODgxzuabDuGZN2n610aIsW8CaZnp18h1iLg6td0PqGdpj2v66vtcXrmlkrmY2
JDCz4KKWU5+WkdkcXWKpewPCy223yV7K7Xio943P9rarvMYuvQ+PkEO7U76BANevtsnRg8NxGj/0
rn/L5fY8/xRpmgkJzKK1FCjUNhyPjYOgHdp4Vu75y7MGI+AJQEIQrV0X+CBjylEJGjBeDXSRtPU4
wMC59WQp++uDuXQisDOz7EBMDnV0OfxJprAkVQw7qvortXyksSb+rhWJ05mPudW7kbFywV22qM9p
2xOL0vThXZ2oQQCL+v232NU/Gv8ZmLht67/8tJ3pI376mTd+7KI9K0bjkEO9+Fg52aF8DjeTr/tI
7W3XCiyX5/T8k6StnJG+VMd8nuzAB8FJZx8a8WkbXrGGgl4oTZ1aQiOR5HVsUvXFvI0ndBghyRsE
8cYSQXgLlqFkE9u5gcipLr9oZIZPkcqirdna6cv1Nb/kHDhbAqhZnH8FGdWw7018Re/WeDUAVm/7
4kdGnIfRq8A5EOPY3Cg7a+XgLE4zhW4Mm5EY4Bo7NxvUdq3nBNlnwW8bqIBk2iOzPgfD4/WKJ1zc
1SeW5tN1coPkRkLqYs5zpz2oFwHdAtEKgfpESXdR/97RRypWoG2L5/XEouTqGQ2gh6vDom5ty96f
NAvliPug+g+VKOygP1UPmYqZDlExjHM9glhubAJWBPwQSB+RC6jbXwF9IvHLYN9Bqub6nlleuz/F
FmnjBiFJQrOYx6d6IFF3auXBtP3C9km/kntedK9/BigXwdWwhgBzCUsK9dE+208P6vhxfTDLx/DE
hnT5q4pSAQwWQWdlVugu/RzJbDE1vh3EEM147RJHGffdmmLywshMsLEggY8EF/Jb0h5JInRfsjRG
bJ8cLfUhMz7yv484kD08MSE51xhti0k/IkeVFg9Ce6i7V14Cb3GvtStufCFleW5J8pkDR9cNSoR4
iH6k36lbF07mdG/Aj2zCo37n8N6lTvT9gJjnvjnoifPrF/mWreQ/frewngf4c7IUBUDckyBskwvj
I9hb2NCiCKyqILBw6JYdyHeeOelbuc1uisidDsOvodloK8Hjwmk4syv5F94iSWl1sMuCh4w8J9xl
zKVw6Mm4+/utemZK2jTghWZWZWKeWfZLKB/mP1EPGMvoNO2tyt/U5DYM1vBaC77szKS0iTKF0oIl
GB3SSb36MZFtbR+LtVrP/CvX1k7aQN2YNtPIMDBb/Rq777riBfYTj56yeBdoKz5lcUQM7KTgt55z
qNIDlLR9E/U9Mo0UiYIOVTm0QYbZUV/rAF084Sd26Pm9k/adpqcCdsLpXjO8oHrp1mKV+SfkacOG
hweZ8+SGHLAVgkWlFkDKAj10YHT9pa9lmpcNMAJtZoIGKPlZqTNkB6wJkpqhqoMORnueVrkdF02A
ZXyuTKGxS26yAvDP6DHo2Ut9ldWTCWmo66dmab1nGvP/MyD590io2jAVOVi580eCYrqW3lvZU7QW
zi0t96kZaVvVCe9wU2EcUbOfijeLO0mwcv6XPM2pCWlHRWETAvqHkbDyTYk/wezMFCTgxtTJ1thZ
F1cFzDyMoT1LU+WWXZbSXm0I6mtGjE7+ym3ytZbWNQvSYFIEK2U5V5UFrgTkgSpjJQpbXJCTIcx/
fxL31aJCDs9GG4ASvcb0RR8HN+lXVmTRBpSEZkUzJP3k0mAYTAVPB5Tgy+FeUTxWHvX81/XtuxC+
zjLb/5qYt/fJMLI6bFJawUQ13gnmtLZH0c9V3XJl11bcA9505bws+WKNoeMQtQvoh8j3KLobVJTl
kXWMxg03G08r8eQaPcU8wj/zVfbMxU19Yk4anzDsCOryMMfqY6/uYuvN0r2x3oHd8fpELq/Vn3FJ
l2ffMd7FEwy1wzcz2XLQ2dOVLbc4FhSxZl2yuVIsXWOM2zlEZpCQ16uXvnqNoz0N0Yr3nCQrEdeK
IUuKwHnbt3nO4fjJuOvyF0StWeV26Msy/xbphdYd7c+IZMRcqDE0FqLhzTWjdyUD5Wcd+/Za4/mi
h7ahmQD9dajWyDuOQMkigaYytjhIfCGVBQgUaSETuRIhLnqcEzPSTlNFkqhRCDMaeVSUD76GY1l6
Scxis1hihs4VBPbnR7VMzKQI5kYBPuVAfkc3LEk9PdZ2wLPfkP5uKAr0kmgFByVPs4IUXSiJIEtg
oLvdmmNgiE6dG08KPbaYmOCK7tSbfIuUr0cUB4Vb0KI4IIxLnGHF5O/6gxx+nJqcPcmJa4KnaME2
BJPattjHTy/FHgQW6rvtcq/6hezBNrpTH9VvuqsA8eEoX9fP89KuAaubbhvQQMMfabaFntv6VOCw
Dey+BKbSSHa9gp6v/XUzS24DfRhz/IDMLNDA54OMRKdPDcMJKNWtFvzTjfcjsM7XbSy0WM0gsn+N
GNJ5BnqshcI3jLSVixYaD+D/wPqk1tY2XPAMTsVTAkKBbOVwLx2IU6tS6iccdRRtZ6tNcRMDZ1XR
9+vjWlwiCwcBZxuoEjk/UWvADU8VDoQAwUfrUiBwtiBB0bjLrdQUrgFlgty7bnPpvtTROamicx66
hXLkMugTiAeBz3cDQYvRgXJhApqvSuGuFQu2NXoNhP1NFd8qIkBub8zV7fUPWNwwfwZNpbVEAblJ
2TxoXn7PrT1nn227uW5i2dOc2JBWjgPAxqsJNlRzDy4TB8g8NJ88ZOJhQoq4CbxSARuXf93q0qUD
IDxk83AnzCXy85OQZQrT2wxGKUKpTPc5Dl1gZ46SvWnFSmC1uHPmCiEy/Mjyk3mST1wLyfW2s+0W
JbM69kCsAAJMwZ0o0xAnrjLCLK7YibH5Y06MTWWRBQOHNAypHkbqif41ZSsrtjh3NrgZZ8pnlC4k
L6IADp4VWY8F4wUUsRXHYt/xsEYPHtTNImPFnyyegT/WZOYXbnKBHhgMaIxBss4+p/ojtKfHvCA3
pGCIFYASoGtNhpc3EK7vmSoX2lHoXTMMaYxlAnA9opLSLcbNQO+BcO5ArwKOH7cDS0J7C1/Wsl+s
rh3IrXqqsfaiuFjG2T5kK9hc3lU1W7IfKAVkq0SHtjjt0Mc/KX+MwpU757JJ9MzGRc5+tIzAMGvY
aGz6CFCXk7fUHcjPxICGVaLt9Lj4JsLxM2kVR2vVfZWuKU9fhOfSF0hHH8RSwswYvmBusrTR2tA0
d1UkbkwxeAai8zFe1X+fb9Kzex4mVRNEDZjaBcADz2akgEpLV6nQ+L9VAGD/aKeZKIWMvXiKjK56
5EQx8o1mVOCVCQwrDI9qSNOdVZWdvmkzSg6Jzfq1R/fFDYYvmyMuJHPmxlYZ+GEOXTmUOi1AUmds
lYltqvivo8bZhAkQFsAaC92fnZmno4UrH1DZcM815mpds3JlXTi72QQoAUxki+b4V4pkSDtye0IJ
2q3yfKfx0FGGYx1r0GX4e7oDXIsqlGLRlobH78V8lUmWQrcYLKkJJOcgQFXaB6N8DNeuiqURIZ0D
lgPETehGkK4KYG5pg14MrEtOblTyk3C+awYCsTtDWbmVFo8kom0EUOhvnvsszr23BqQ4jax07oa9
C/rXwZgcEu3ULHXz8l4pX832pjUOefcamSvPvaWjeGpZin+7QqvjqM5KvMJuLX6rFntNVVxDv7Oi
V3VauREvY0Tskpm+Ac8LHeBHWYw5oVGYj6QEHTgaCGipPY3di91VfhiWmyoRjtD7W0LSI1PYoVGD
z+uX/9JYwSdia9BMRG/y71U4uSNBnGe0fChKF3Xjt9GIHK3UN3bC3KgmH9isNyKkK8diecQMp08z
0akCsdzzlVWGUY+CECMeUuNl0MhBGVVvUAVKeWZ4NNXeGVP7QCrdNYKvnP4HcC3cHuYa3RooU1ry
haIHkWp1AqelbI6sckSzZz3AvQCxI5HEbJ/ZWzvYZDqkAqB7ASzL2pLPoaLseNECPneB41Wsya/v
2o6DpiVwDH2yV3MQlhmAoSq/IvgGU9ll454Gt0Pv/v1KQ41FBwAJLdeI9s5nHSLxYJmcLxgA/pJj
Kuoccm6iukVu43lq4zsrCUD5bIuV/pgll2EDOQDNZPRfXghJqHpdZDF4nlzKkQVoIR9mjvfx0DtE
DVcqABfBGKKDmYQFrQcGVGZlMpSgojWxSkBpO+On3bRbwBc9UTaOLeq9hSL49fm8DNZncyhIQZYP
RlHvPp9QyI22bTqjExD6PA+gsGNa7pYk9VXGgXh/6Gzidm2wCdU1ZZqFOT2zLC2lUpoJ7xVYboKH
PkhcUdSI1sMNICJrZ1W73KowhcuLgj1gFqI9H6QygqnMzuEfxKQfaJw4uPmPkRJ6elX7aU6BSIg2
JXuazOhm6s1tQ9bIwhYHO7d2z0CNGa59/gXFBKq5qMBgJ+WbMG4bBZgk8QSBi78/H+gcN5HhQzMO
pNKkkbYsDxqcSYS5anuoWefDVaPtTv2pFGKn5MMej4ntyhZa3LFoXcSbFrBAImeWaGVZBVNgM433
RrmLjYMabutsRwm0UHbR5OXWu6EcC3ujJa8Knr2i3xnWfbuW4lq4BUAKDFJ7OOQZ7iuF2K1uD5Ey
4jsSSKelW6q/WMYtqwM3jW7szNhcH/biiv6xJmdFumHkccLh/4uycwV5503kDQPwPmsub2l6NYYA
7zdxFlJa51snAJKub9sJFCgEtH5K7CZ2+1So1U2kp0+DXT9eH9dSyIKnIAgvkK8D+l326w0ZSAyB
+hK9gCOkVSunajYgMXJodVvkLjQ0g/gpKN5iFrto4bhunC4c1FPb80E+ucjTrldJDe02IIFDdwqS
oxqtsRYuPMRQPQCw3EQNgaLl9dxE11RVxAIGAmZ0orOkdQ0yIgqM99dHskB+AWICXM4zdxHkD+Xq
pNFSowPNFNxbbZfbOIwoiPhzYD5ZaHudMWRbgMHAImfCOJrZmhGtqlE4IjAMjVcFl82+K/NxxRMu
7KWZyQT/oi0d3l5yQ+impvlo4bFUpk1rungEBUcWpWDitLUMsb1V6+mNoQTJGpfKfPakYAEVB4Ro
IPIiJpFrAmacmm2J9AKUt3ytvutN7mmTicbE/+HsynbjxoHtFwmQSK2vWnpxt9t77PhFSOJY+06t
X3+PjHsnarZuE8lgBhggQKqLIovFqlPnlE5q/sga0PeLPsBK0D8zyX3oqM2tvhtg0jAHtypfrFp2
5CHzVCm5x3AEhh4gf4vMZrBTIm9Ty3J6nwjaOpdTYrhetflfZZa8BbT8fLdlI5K0uMVhqmlkdymK
YdDQrrSPjrKDKmeOn+DCU39YkY7aUb1VWwi1Kfkuyu5rU98lGrN9cLvGenTwTX0bEskeSmGBd+3U
aVA7USmeeCiRcLuia9o4GC2curwzkc3dtMlb7NvodPlN8BKr5V6N3pQG0HcwPxNMS8ZxDUJm0cj3
2sHEcZyHaVGp0firCwcAI/ITEp+ISsyJVGXY1VqWO7SpBU+jdUt4Z5rAO+MNyO0MBXDYtJ1LBrFK
dqYS7pou9fTUEFyMazeEgdHnGfgObik+AgwylcCom5WOGaIy2EBC9CMqio0qYntbjdgAEKH4ibFy
UKJwmywfIy1mcVU6ReX7xAsjOdtocs2QuEnAiJmj8aq0irLLMIl5bIxGOZp6rRzUvITqIMj3BDfI
it946iqYJ0A/E//MQWgRxPEW6+p4AlFXGo1vUYqenFTfMknem41oYG41fcUQG+571PRmio9zW4VU
AmvlozHR1HYXHf3io5U+CfMM9U0jW5Qz0Ry+HtgvG0tz+W5hcnZ/4V4Ut2A7TmASMlhu/YqCyONP
cDPibWu3B4yC2vc34W/weziGmwnCycrKnpnmVnYMy7qx4q504vx7JQM9n0LX5q6nTPAqWLkmzuzM
mdbCRT/z5aJpYUciKSiEJCexBkcamj3Ew20qhYIlXUvclivKJW49xdxE1GNFU/Y21YM9lU999ChL
buEDOSQaTMNcA34+dxmhRoEkB8P0UDTjb8EpzmIjp0jdUFkzWjAIDkO9bSo00jxEBv2mZqSiXmAZ
1mbMWP1NLmtyL2nWSG+YkQHt3ZfKsNETisGcFvW3YKNO4/hAxgJQVzpRmt4jyFZbIKhVYxf5yfAj
UYYCGNgxoF44BYj2gRkkh6ayWO+SOlRBbKF3RegNmlTfpDI6JNF8OmlOfMnJWln5sJjc7EjTJ6Mr
Z5YUuV0Y54bTDL550qQq1mxFMct7Gqjyc0WU9E2TM1MG05Y54fEI9mvZUSPFJ3ZYsHjfZj3Fc2i0
Elcxwhq/wWxPneFTDQpUUvBDqaPSRTG9fqIVBTQZLcDea2Mmv6PXiZCmypEONbUM5G8bLazITdAX
Q2azcu4wg4BcC0HrLmX7EuEFAqdKqrpA0ck7qyIAALO0JRNmxwc0aOIhrxCB5bG76ZPQgrxDEJsf
hYJhlLE1rM8kKJV9Rq0I5Gvy6FopWLZvoFcCbg42dli3AotsB00MNrjKaFsQIzDdd1pZzX5X5dje
6uCpbBwlif12E/ltCPrtOtY+M8tnP5SIjaYDzYz6F5CS+VMRFZNvaxX4fpkpWZ+phuV9NAojONXK
gPHRYEwLavcgjlHZVHldjYFW3Gm4OnvMvne5TwYnLNk+Y218M/V9vkf9lOxlNpg/qqEEJwvJw6zY
1A12mFQPNL/RtJFmt7lWmB6BRmXg1mmbH2jR+bcyKaV6N+aKEUBVWJZAuo69C41oUryRevRBNGYB
v+vU41RBgM/QrOKhHOLwoNcjVR104arJzoeqQme/KxqI4yVhsInDvjlJ2qQ8qfUQgWOx6iawkdOC
KPel1uWl1/ZKG6AHWdPj0JPGo3hb/eysERQ6up5r6MUSPRO8XFdvMdTKwZs7R/MLnpK6Ztg9WYlb
WZ6ZmbZhdUv670l0omgIxTtafNaTO9KjDsa66yF9zTQeyygdmhauUfBXnce7omNW1SRIgFikHZuu
O2nBRwLWSy0ptwTmIEC3KUh/qDDb2wBowlTRFM1KCASxDqYNAP0EQxDfnsolecpCpMhOKyk2cbba
se1VnErZCaN8c93dlehOgZbUkWIRcFzzlUtFSrVGYRIql62t66cy052o2Y3+s09FqrhrbqFmNjPE
zs1ZvphVjj3CZgW2f79RUSWt1OJGkYc2tYF1AgM+okjrToGSQNuq1fte8F1XrsuzRIS7xlIJIFdJ
RyJSDdXOrDQIgeMTYyQ3oPfXl3TFTxB2qxYq/BjMhnzK+Qaiw2jV5ggGq7jLPR88TC6Riidp6L3Y
yDwTs23DIBpyXMnaz2xyeYgBwsawi2EzbXs7rykS9qfrXq3kyaAsQ0aOZwHa6jxizC+tSG3GBq0f
Dfw9OdDqQw15BAE/2ura/bHCPw3zMG67qW9B3d9auFSlb1ECwZNcdyQj3RiBuu0CafvXjmFgHLhF
HDZw9/Ofi9GxiaDDh2sMfA6N3CLR8PdppPx9ugY+KfCVQqEa1Ru+7MjQgTDLEOIbscK8WtuBcAwZ
1TOG1a67s/bKxJwank04Ykjc+OgxgpeYlkFUQhap79+qITFQgx8hF+ewLoXyAkao8CvCOBknW+9V
X7dHJCHvftd2FXQfg+SYB4pxCJvO2oWBHnq+XwaHMOolT1HTDrXKRk98N2F9cT+kulnZpO4wlHLd
jbUawWK78YWngoFreUrAFgA4n57em/4nGfYRxF7T+zB70rvf182tRofFvpuzxEWSG7OIYMQL5kL/
1hx2ACxP9TdVNHy6ekoXVui5lUhDiZvOu7s2UE7rY1R5klA0h7z2DMI+Q22FAMKBADT/ioUvVhfl
mtzW0JvUUV4NJ4BRQDwzvYc0t5Xwvc9msdZMVQSJ+0qAODPLhb2kyTNSxzDbar1XZoAxj9u0FRhZ
W0EZAhsQ8JZB8MU/8VhKm7GT8brt0NgLaHiXBKIZIZEJLpQqRY27MoCJLEtwNvzwgTCRpNzKWiHQ
KOiig6xpbtmdf6IaqjNd2gCtbsrlY95IPwI/3WR+KXh8rx2ipRluV7dRWuvMhJkZsZreFSxDBnEL
VqjU8mj3mumCULqSTMAtuASS1Jkih9sCWYV2S6ahjMdG6EQV7C6eFYwG9QYSqGDPE8mUrZoz8XeC
X3SGI3Dm4kmv9FbBy9RHe0qZUk+rdJeUIF2i4W0pmjleu5oA2vnPGrcvqm4YpHiEtVq6m/rGJuSj
SW6ZtgnR0oYI1PWAtPbpFB0YIUASLOOCUUpNIjKF/QRr+m/V8CxjO/Sfafxs9b5btR8DoPXXDa4t
poaWFIrhmKlGTf98S6p0QKMxSCqwwwyeVvjgSUjVwW6T2BlDY3Ravf153eLaIQBWxwIQCAgPypND
ZeFQWIVRomldBLYy6HdBoG2hfBX+g2d4+MwcfUhddJ6N2RxHI8JZy0FO4nXTARK1YBv1whrPHhGy
bG0RF5VtPkmiPkq/U4ok06jfClm2i+hl1DEx4u9GUYPrsvQEwDvah/8H1OPVyercrNR0AlBvupND
J3jMUb9DVnayvOkUOdE+eLa20OGGGIKLO/xU7EXjSheBkvsBXHRJg0oigYIfkIH/bZ696ETjuytU
KOc+chemIcmZNMSABw4bZaM9hc9h6HaueoNyyqGK7Sl0jBsn+A5chw3q6c31/XnxMb/8Q7DHs2hu
D3EnIstAXI+sGijS+JNOkj31NioiVv6iiThhRZa4lQT/xRA2M6yzlcF9DLkzy6HRQ9eBIOX7v/iE
IzcDCuZRufNTzkBSR5k+AI8HCiKDnerK6cxnsFR2OBXXTV0cbyzfF0elQVFcg7j4uSkd6mYRzeb9
qXVeAhXYqsVIG/l23crlc50zw4XlKJTigtQwI+382+IHeunDo4pG/rF3NYi92UC8XLc4/4VnBcMv
g+AVxLv5iyr23K8CHXWINo0YODN+xPRzQFev8u8aXYAyWdsTcwL/xRYNIBy3+9qm7YM6xJcKpGMb
7GVySvsDKR5aXfDk+upwXDi0sMTtPjnTijZk855Qyu1UW4eYgS2L5hR9wLJ1lQ5C9EW1JSgPDk3z
UWpv/7Cg8FAGRTRAcTzfTFub08SseUFrKIpIqhtUHgPgOPi8bmd1Qy7szBf8Ii82JSkFBZCMFTUP
sXZQ440kwkd+UV5eruUfX7jzlSkjUgOkIo78oD8o+7CzyUPzGyOJbKc/McOVXvzAnpzIxQied929
i4xh3pd/3KMcmj8Z9BK1cyzj0L2iAmFXwy4e0LSnnyPoOsh4kunuusXVkwBed2ADID6o8FvUMEfS
Kz4WNAP1B3R4deUzHN2AiApHq0cB3AMmqO7QNeVBD9kYtSRGk9xJIOIV/yijZ6n3mvJOEw13rzo0
TxLOBTFU3rgzl7ZBA+kLgpOQSnu9/jSt7peVAtpQV4LTLbLEnbk69aPRr2GpJw+WiTbgK20MBzSW
gk2xeoOqC5e4GxTjisCw+QpcqszbqStsqtdOl8cv6P4/1kl7jGTIGIXPpITaVniPmoItRZPXm99V
1DZHQKImPXKMKt6rXbj/h/2z+G1zgrE4kG2KfF2t8NuUym0sr1Rv5RDzV4/XrVzk7fO50IGbwNwE
usn82HZQWT1ROtC4mcN72n52nQPBcrm6GUun/7huapXZYWmL+6xhhnsQA2CYU/LyN8ya3YFVEYon
bsBcpGMQN3GAbSt+ivQ/1jIxdca6gjQO0HeD+8jqGCu9mcwHZLgrlLuGicY0VrfrwgD3pRIqlWNS
wUClp25MjyNz04puOhFKfjVEL+zMf77YEQYpukxvYUeL3qNssjVM5SU/r3+k1WiysDH7urAhqRL6
NrONsc3sOHkbysBJoMset4+miNFndd3Aea5+odBAjHVuqw86DMuNsFVDohqmMIcgYwhDUFpc3eEL
K9zFFtZND0YERP4QR1aPPQa8RuG1MqpmG9V8vr58q9fMwhh3w0HFtqfKrKERybc+6DsbMIhuLOU5
DNB231XR9+vmBCvII+tyPAGINn4lB29tsR0wqkmfA9m9bmX93kZaPIuCAEnMP9zUcqRTSOd7OzsY
m+5N9gJbjiGva4/3ud3ca1v9qXV/QJtXkE2u7vg/hvmCt1IWSZsXMNxI5nZSErfS2a3PDEGoXY0Q
CzPczaZFoMfwY5gJoVQXhZDFfRWs4AUCfA6zCwtc6KsozRK1hYWJfKpACFb1rre+qeojqV5DUPpJ
yo1ZiG631bO8MMoFviHsZF1NYFQrcZthXBnZuJtEoY3Hj0uNjxZqXWH+2Op4gVjfhyh0pPa1kPPn
DroeVQwwldq/XF+I1Q27+ElcqJSgRq1h+Ch10I7B7NxTWYJX97EWdS3WPihY10HQCMjSLPt0Hlmy
kmVdgfkqhxE3GqF8OE2Cnbn6slqYuDh6WhSYBaYBneCUeANEOG1/E71M23aTfKBSjsLQ9ZUTGuQ2
qV4EACbM3Izxsf3M9/5Nh1kNG22m6VO2CbA1m+sG1z7V0kFuy1pBotdZZGINu9dBdgfjQTHetL9u
POJgLK1we9SPsR1oBa/G9PcAfaogsdnwzqzP686sBRKQ0swoUw0SGHwE0/uiiUFvhWQc88N4cGjq
Zvp74b3Zlz9G+GhlklIOgQ5BHoDmdxY8WZVrxQ9mbTfxoSlit4S42nW31u62pUVuT8gksCAfAot6
tVEDpyU448Qe82P/keQiLhnBGhrchjCttgO+Gsak4jlp3aF7oYLrbI3EECVW9PbxkTAmw8ONGJPU
emyBi9Hq5tmARMFuGMnGqKY3q1ASO+nNfjs09ehGQUduTD1964sKU+ixZ0W/NMxTaVm/ocPEBDnE
WiQFfwbqXLqMMM732yzSqqFcoARldhJGbiMINPmYwPgR6zYTiVuvLfPSFrfMdVDIUgaYpVNWvQ2i
NGeqf6kiQr61w700wh07pESBObYwkkMotg8Ut0i7UyYl9vRP3FNfyrqzdgmgvbO/i4wSaZ8ZNsGA
q09xtSGxw/zH9UOw+nFm6d7/NTD7ujAgx4CJGxkMBAqIL8F6TdvI9rtvheopuQhBunazQC/MME0D
GA0AUc6NtaY6ytGgzkxB72X/q+o3151Z+/rLv59zpgpb1Qh8ihcpyrcBbdzQeGaDCEG0tmRLK/Of
L5Ysxwimn4Ek3ynifadtfdlTlQ7wcrxwn/7BHygqAe2E2xjsEeeW0j4rTHOm6wZo36maDcWAFDEE
cWP1o/wx8tXzXbqj+R1pZBjxQatuGluAPQSBdu28GKA3pQRbGdQsnBt5DTrZIcY1RavdBLHoHFix
x/hfaNoWVi7lfDV0DAj8IMEmUz4HKK1d/xqXoxa4ooBtg44F3vwglub8aFsN8WWEBR38Erm6R21B
bzGet4UKp+nvy/oVJzRhW0AkQBPoanhlXv8F6wv53w/QuToclNPjGpi2uZwaOrVp+/pL0bwNopGG
1WP0x09+yDaQI6VQGvipKJhcwN2QPlmi1GX1EKFzhhlL4Ckx7Xi+tf2RNqSLUaDJyTetftKivZzv
i8aLRbXLtVseQIX/DPExgRRjEIcoh6GKSPrbvn8ZpZ3K3upsp4oIO8h8vfA12qUxLjSohdXWgJ4i
7WvtaWM8WXZkj7GNPt390X59nRzbO3qebu+oqM+zeooXbnIP9b6I83Q0YDkG1nXCAGAZCa7xVYLT
pXPc9o+zPraCASboXZu5zaPkSCfJqbbBreFVbrUvHc8evOCpd/MX9Ri4ovfs6kt68QP47Z+btR5O
EvaM+a48BafiG+QYmR0//Zbem3vl4aZ1MS9yK5qAFmwg/jQUZAA4zYRVkoVQhAZxydFsjxVz1eQ9
1f8W4IcQY87CaxgtxJQBP785BZaatnMwHpJiExHitIa2b6d61ygWtKYGm9WlgMFqNayZFNR9UFFW
gBjh0hnK/CjyU6SmReT4VLZBjEIxRcSkO7/aa6Yd+b+RK9txdUrI0UhcJpzsXHvgL3/BvLkXV5Bk
1p0SdfgFQXEiA5CaIPHYlOltGNzW2F/xo48H7/VQegllmldahR4c+hpkxkGc2wTjHmNRa+FRA4rz
XkWn+T4q76X6EOoQ/9Yhs1MkNuRkBGbnv5aPECAvwO0B9Q0AWbgIkZpmnuU6zFogavkok6lBK8Xq
D+0AFHvezMS54BrdVpCygFZ7TPEgIT0eqeYk45eBu6lr+38hBZybgZjXgywDgMnnS9HGkAWvSYAp
sfqxoa8pMJ4RJiKue752dy2NzKFz8Y1JPo0s88PMUSXPDG908w7pEgg4rltZC4NLK9xXTcfJ6CQZ
ruCdYRsVwKoi/lGRH9xe9WUlk3MFFrTkoc9QNYQNqI2HIoDC2gVpQVsX4On5YPLJRmLKRVXWceZI
Qf0tNqz7WpFOVB8Opt5uG8J21xdu7c6HzjYq/FBIhJ4EF9wrlF1za5q1U+TCztlbZX6WgEFcN7L6
df4Y4VPNAS1EtbcgMWI2rVOrmBQRpZorEk3zXB+Q4IDbounLPzaLoPeD3IcfYWRXmZ19SnfRYTiU
m/yAx010NLweV8Xk6afwRttfd2+13Y1ZNKD7gQgC9I5bRAWFErNqsDeK0OksGxfUMbmt+qdkn7jx
FhiF6/ZWt8ifc8sX6rQEUpcBizKUf6DaE/xqoXmYWB95eS/UD1jdHn9M8QU7RR3NPorg2RCkbhRP
x2gIXTL0gt7l6gb5s+n5Gz7JolibfHjUae12UIaHCdff9UVb9QRTfGBzmhH0vA6RrvhaF2Qw0ZS/
KBSWktDrg+/XbawBqAC/BEQavWvo7BpclM/0tAaUFPKivTNtrKPqBDfB73oXvgYP5U8UHukjqFTI
BwQE5549YGr5Pnm9/htW/Dz7CVxC2OpNoFVSmTlyM/oqwKayfA+h5dhw1RwkI951a2sFVlPRAGbC
64TM6ODz8C7T1KedCo9VDA7FEi4v7egDvNUaAOg45ZTYZjsTEt3Tmm0w3yU4CitJ2pl57naROxIn
elLjq6obCa0piPJ2mOGqHCrfyZIgE17LHc6scbdMAzmGJIlgjdJHhnLDBNg9ONSN8FtLcbGjAHf0
2T9cbWdGuYtHGy1VxcAgcLblXRn0SPJFz8u158uZiXlPLe7ogJpFJqXwS5IefG3TmB4NA1eVbzX/
LZlHBSW7/qCZhNEuTP++YqJi5ttFVccxQD0aHXr9lxx8H6tnsxORdq2vua4RRNV5j/HUrlASyapo
wG9ry28Z9F67H9q06Utzm9XP6uRi84F5WigusnKKTEwWoxMyN9cvWMlopBVpaGLRxxv5t/q9Auv0
rnI1J3kGj99B2VdeL4NYVnCYVgI7nvEyqg2A5yIcct8hjCWWSwRnd9iMHvnhvxNvghYQ5vmC3/lJ
32R3Fnb2Pn4QXZ+r7mog7wUTG4r9/O0pj6pfKVAbcfzBjuk3HcQRbHPduVXf8LQBrzZKmgYvfZdK
Mh0wDYuTSujWGH5h8ncMGmfIt0O8vW5qJVWb+Vn+M8WdmApMmaZewFSouKkEOuWdlW9HQ+DQyp11
ZoX7WJCcm6f6YMVMtgO5a0wRb8LqR1m4Mbu5OJV9rBWkjGAgJo4evETdJhQNDaxlLjN7HNohM+73
QkQhDGupjjoQ9xuR7EGJwjYVL0t+YhgnUo4UAhvJBsRUENUR0V6vneszy9w9JdEUKsJ0lgyoHlq0
xTNAWX6iODihT1G6NZp0ovLWqklMEBCwqc0gcf4Nplixn9IOjRJUadLmuYDYFJgqE7DHja0dg2JM
GvF+cK9vxpWvOI8t/GeU91M24zGZGXHz6b7Q72XlUx9+XTexcgmemeDSz9oPJloNMBGYjjzatWHr
+wB0AaMpuG2/cJPcK3ZpiW/WNR3TwKADS7Tsn7W2uon9mQ8uBsfwiIWkLqOfdfqmK094TVT6MRtC
EH0Bd2PachLbphbuo07H1HvtBvoL8WXQlf6KIBEFEKXdafn90Gt3MRTeri/QSkA4+9l8khJ1oaI1
+Nkd6hmk2PTKNwt4ydy7bmb1O0CRFphCCyQ0fG0zUEO/xDwjyvb6pH6LLCt7D7ANIX6s0hDPEA2R
neU6SNZkTKL//SNLg5YYzrAyjzIh+HHhIq0yCKpFQGylT4V8yFOBd5cbGX+/gcsJJjRwjs5/vghH
WQd6UT/G39+gUYuhW8xRJxtLfru+hivoQpgBcBeVEvTpYOvczAz40AoNyjFp9AiKkT7ZyHQ7BK4e
BOB2vtMmt+pswzoyp3rWVJs5DrG1cjOJQuOauzrmzJF2zCoAPBKVhaUSjwTuVsXvItGPbJS2Y0tE
SOnLaxF8RfgHk706GmN8lZGluVKlrEIRbrS1Z3nbufK37MY/Grda7TDbuM0+cic7pDciDbov1p3z
swzL4FGRwUKB8SoeIz3JciuVMgJwr+tTaEt4Xn8qgBseMP4/cxanDFh+NjMYRwVtHoohhWTQlCk1
dZUoKu5B/IAcO0ibCDJMVqO7FPxGXt/UHRDyepvlNtg9AgyzV0n47Btt89xPBb4dlRNzR/xYdB/P
G+PCH2C9QSmGeibGcs43TtVmqa7GNTrtaoDaTGm0XmqlimNIpmlXJDuOdYoUPYUyDfIsEZzxckYW
iRtGgvAWQsPrcgxC8VPgzGsc/nhP3v0f1C6PEmrUlqPuwUj+1qFEvcMEem7fZHfqCQwugnTkMsad
2f+6/BbHU1JA1SZbsF+kn4F+8KNt579qmSC1Wj0Vf7z8yicWVkBY0MXaLIlhNo8JuD1qaHIqL9dD
wNqRwJwuELYg95kZ188/ZNuAKb+k3TwEVN6TVrsNLbrV/QlXdGGbki+4oC/zOOCFMUAN5mwQjV5w
loEoQwqUFi5h/AlC4sQmoaDXvmoB9WZkWfp8LfCR0y8IIeGcAhj6xlIxbVcLxAxWl2xhgUsVxwoI
E7Bto31QPHQ+OCaf5PhgJSBmEc3sX95xWC1r1mFFtQuML1x4bv2uhhRWj20+nTAOIFc7P/Ty3tZA
hitEms/vaf5IL4xdULkjs6nzeRysrtyM3PbjNqs8E9yhwU5XNwN1i+YuizBdvzNB4nF9F64I7Z55
yg/D+VI2zzTCeHVqHuTBll4sZ/T67Ud6q7m34HYLXWP7quzsYF/aCgZawNhk5w4YzrwMyFzBz1k7
eMulIOeHAmPLQHzN6y5XxxodTWsXhIIIshZAlya46kYZWr6vzNN/beq2w54A8ji5PUNncSOZTiMk
+F09FmBkoahXYTPxpaMhTxI1B4rUCcpNw+7l6Y3EO7O5GzGCx36bdJ+q76UEnuM8cQr5R6P9ddER
hx4Fds0Awh0PAu5Y+pUexC2FvxmEUaEEYndEEC3XPAQ6HwBgMEdjEomzIE9lmRB9hshSaMNktyC+
FGyLlfobnEAbC3xoEFeg/HmsK0mu/AQDM1Ac8PVDNj4q1k5KbgPmFbobWIldNQC64V9B+3AtECwM
82czMbqAdR0MY1jNkrYK/RmzkzK+NOWN8vcY/jMn+aMYjwhF5exkCbrvZvxRTuRGCiP3+okXecQf
sSpP9XEe5goptfXpLs0PeIn4+k+Z7QB0FlhbO9DL9eNOWwvYXpPIs0/AXhnvDbuJ++/XHVq7FSA8
I886dhhm518EZanVdcWgI2L6KiArdfQ76sDw2BfT6IVDMHkQmBWxLK4t4lymQ4MVqHcQIJ7HqUEK
aWTNQLwseWIMtPSOJL8Uij1aoN96vu7fyhKCyB+s8CCHB7MjT1Gutp1SSDpsMQuFX6LqzyXTp01q
RKPgmK2Expn8BB1GPOxmIp5zrwLZx8MXepBOlEe2MkanoLjHMNNJUsqbkp5CmW5MDenxdf8uvh/K
6mjMmcgnMYYDdtNzqwX1CUDlOc4v8F9F+736YpOJ9nkb3KDuvb9u7eLLcdbmP1+kdkiPYr2tYK2r
9pLyEtc3Wh8+THUP2oXYpmYkCI4i77g1zbOpi6Ma9tJm2GQGvS/1BopFqRex+DQU4B687t9Fgnzu
H48TMxlJDSMCVVunMNQ5n+vmszI+BtFs2GVJjbPDFRuY6UdxmcMOs8h7k8ShXce5dIDS+JFkGVSW
h0EHcfUA5QRIXniMdJ8SKxNBeBF5ywWzJjJHRZm9raUNMd0SkNgWozyDkPx89TNCEgH7E+VQkCuf
bxtoJmTEGvEZw/I2qzZD8oBQbev1ayjqwK9u0IUl9dxSLxlWPg2wZJFvaCSBIjEH2gqs7m1i2kEv
OvOrKwjCU5TDwQOCcsS5OVXqUxaB1c5hFSxFipvhgLOJ3OqYmv6HrbkwNf+UxdGL66SUSwpTpaE8
mWClizVUInt9X2sigcuLmDnvzoUpLqY0sZTnhGER1cB6AK0ssO/tT9VsBB6tn4KFHS6axCq68X1Y
NhhA9ejk5uARI2Hp5tgbVfqMWewMcl2YyBalCqKvxkWVxAiHtqixlBVFcYhYhZ3WLTDwhdvnmiik
XA5nfq0mmGkUyJLMC3v+4aqsKGeqyAYSPMPvtFQcAKbuzCHYsyx68/MM1cam/YxBCpJY+TE0ZeBF
GjeufBet4lcVc7PXN9Js7+zBdP57+D56Jxl52bdfqw5iJrl2TLWz01AH+8pG0l1w9JRN/w+RBrcv
egeou+Da53aUVKQaHfIaX1ouIFiRG55ajO5U1i6uFME797KEDweXxrhtlXZSYYJ0u8FIyoF2BzA5
qtGxz9zCeAHpaWq9hmgeXF/Ty4okZ5P7yFk1MYwMwqaq3OTRXcawkKXL4qcEaWLrqsVtIO+S2GtA
XsduR3On9DchezQi5FeHKBAhPtdO8GIJeIk9SYIwDE3xcxoteO+T5kMnybYc/L99HX15DSQioNuz
BDYX/hSk2jQqYCY2AMnQ8++o9z1cX9m1qwP1kP9McGHPCqjuY/oGCxs3dqMeGlz+k3SvJN98WVCC
EZniNqlusVnLFQejhmBgmD00UrUpDVDR53jYClZu/QP9cYvbo6wJ/SwFHshBIAIjvBtIAPOpAhmX
dSMzmTnKjSj5cw4lg2VGjYRTlzTAssQhaP39Q0lzwSdau3PBZPifGc6XOkoLv5qaxpny26F+1qXm
rclPRco2OkoiIQjDBVna6sWxtMidtgmCZnLMYLHNQXVb7KzfcI6extK+iSRnAmtU9/eEpQgqs4ja
F2kzKEvPozhDHsraAWspB+wYA64lGb2XshNGkBkVcMNfom7nc7UwxmUxZRrkgRbBv6ik3gDC3jAD
mLqsHb/cdIFiKx3GSr4V1gOmXSEE3Cp2KuKkWF/jxW/gznaQTymqxXBY123Lfx/UR5AtZgzSBbjB
IMDR17ap3jXG9+vnXWiXO/AQcgkNNAhwCoELQudB7h4KsIqQTQkGYSnN7FIH5ZPqKsgMrptePS4L
j7njkmedFOcjLJfoCsjdzaQP2070opk/HX/7olWEYInECTVSLvOXeqgLSEHbOGSSXTAm4NXE2rfr
jnzl09eMcIl9b9XMsAYGxmnrDoxqjLxa1raWjpl6AkujU71aZNuwk1n8YpZgEVeDwcI/7pxIVaJK
nQXTNGWgZJTtCbQpIUYaQCOsW7tSMkRdlbV8BiJkGiTF0VQF1+n5ydTKPJaDCRal8nnsbpllG9HG
L3s7pZXdsp14/PsCkj4fzz8W+du1M0najDksdsaWEU8v7sdkwmBc4ebhzGCEudQSvTHRtMrq/qTQ
bgJ0E8AjftQW4z1Jrg1o+RXSsRkeEv82D/bXd87q7vxjgu/dB21eFfMok1NBIglKDW6figj/BF7w
MKJM8Xspnb3Q0M6vk8INxkMY/r7ux3oOqEKyaJa6gg4btw3lQEkjyYSVNAm/4/+3Sm3uaqP0Yn8C
zznd9vpDjv4SEl8RJ/LqCViY5oL3VGfZBAADTCvfyiG0rbSz+6jdt/532r83lUj3cHX/L+zNC754
GFaALcR9Ny+oNW3pNGzBbu+VBbEzq7sLKn0rz9wLqYh3VeQmF6ezoRuoPJsllvRN8n92aRWCAXPc
FPRd6TKvJ6Xovbi6ddBo/5prB0SX+6htqGYWm7CyERk3hAzQkCxvI7CHmeZ0ipWXSBl3A7T5bGOM
SuTZANNa0qucWLbZ+NtCF42Urp6WmXBbATIKrO1c5FGBWW9jzaydqRq2KWkfh5AKDuRqTvqfCV3m
pvq6Eg/SKYQJ2tq9dsLjJU62popRbEFCuvYmRnLzv77g7XC+i6RWMzJrMJBiQLggAsSvRfcKIyi7
XNiyW/+Mf0xxtxOm6otInj9jx3ad/mD2r0wRXQr/TwD4Y4TbK7nOJnlk8MfIAlTzoJcAEG6S3kQ+
mlW5h+FyEuD524hGWYSGueOP+YK2hCwmvJMZOKwBh6CgmNp1mN6BrMio72h1qgxBCi5aUi4GQIwy
MWMJRnPiGgCu+8HWaDpB2r1qBJPZ4BPHf4Bonm8RmqfZYM7fLQc4Y4jKrTrqHih7nOuxe3XLL8xw
gaUi+mjGOsygzG635c8as1ZBAdRavPH9QWBsddsvjHE5n2Ixo6hHGKvG3B7TU9mpzhj8D2nf1Rw5
jjX7ixhBggTNK02xrEpe6n5hSG3oveev/5K6d6arUAwienY3ZudhI5QF4uDg4JjMjzrnlXJ4QLM7
vfDSqi9VeCMBKMzuo96VsChNh/w4p+LG2yPGJdECF0AcwRBEDfkPP30KxHGTlvXT+h4tw6DRGqOz
GAtjyc3KIg/SeoJbkjAM2Msj8thPA9h2/jcUxlFkcVH5KH1U1tDQrWQEz5A7dKPM4DyTF28yjKD/
sxjGVbShlvitbsDH4t0/Ba7iZQ4Ntw2ek6VvT7zXK+/bMQ4CYpC90uaAw0BjQKyCdGYU8loBeGti
ziqSNYGhDvh0KbrW7IoYQQS9i/QjTPTJadBnWWMCqpcdOZna5/VdWzy/qoy2HHTmgZ+AWV9V1kmj
Gh6g6QHR8SBVttzYcmCJ0n9JZYL94F8oZpV1gqGTrACUJLdH2R8hpvY4pCi/ia3/2VXJTkYBsy8g
OLS+xMUtvMBlXJQixkMXxQJiH1hHC5YitF77Q89JZC7u4QUK45vkGKTb8rw6XbGb5LEAO4qEQjqo
v4vKcLitHYse6gKO8VBT27WGlGJRie90SAR3hSvX3xW15Xw8Hg7joqSk7/RSxLJI2ZjDHDWWIZLP
8VObR7yIcY5abh7C/65JYsMnSMKmXqgDywhewn4XgIcyhthCa029Zybx02T8HsTnXOFNTN6Oo89P
xAtgJpwaBDVRpxTAYa2jaf137Rn+Rh8gOwVXVsaCmxZPXTeaRqfbPYLVogN7B1S9iAxO6057BNH6
/ZiKvMrOukmhMH59C2WNpqDujj1uopemO1D9ocmDfZS8qur3uOIp4807efv1Ma8OXSPMj7ID67I0
FkWVwAlViWhCGaTLBzOUazOTdkP2MSZoEQ7+y33+NZIDlQPM8DEeYYg9QsIKzhUPdMxcOXXzrZZ/
lTyW5OUMywUO4wGEdoyi2sPSNHAbZLs0BJHej6Tapt3DKLkS2Q3Fz6p9KZMHjM3Y695nOUWGt4CI
wimSHmzPhtIKQdP3MK6qcWh1mFoHBNumnN8V+d5o7Egz27IyfRCOrAPPnvt2P//F/ZpsvIhhMn8q
xy7GoieJmAk6+r2Bd2AXUyt/lsZOYI6d0CSJBAg9Q/M9VlFoWxWRLKYhY4gmje1GHTeJ/9d98V/H
9c/KmHOhZRm6nDuYDRU0bF37OlWJu/7xlu+MPxBMlEHVsK1FiABYRn6qICka5s8arv91kOUT9weE
uXvBMKwLI1iYLdT4TEXY1TNPAZHNGhumDo9NvJ+E7TokzyiYE5f0Ypq1BJCZhx5mLdl7efZ9HWL5
xvizKuawqbKHpgwdQW2JVuKsOmVe7rbqKQQb1X8B+hNPMHsEMaveU2S4R0XDJHga+RbJdKcbMjPX
lbd1rEVXfOFBmNtd0UvSqLPJgfgoUdFDFr/WqEC3+qb1MY7GmxBd/IYXcMztrha1BAUowPmQJAzv
lMIq9XNGOa5p0RguUJi7HcKgKka2gNLF047S9qfUEk60vr4QlB2vr7BEjIwiCwERlpUdIDoRZLMS
7pNys74/i+dVn8swkqgoBisTAg5u0kQppg/JkJ8ERT6pqfiqVtrjOsyyM7/AYYwbMyRx68nwC3L/
hlKWJDtRuJEls6G+I1aQi9uCES8AsykHd7blG2d+gcvYHxmFum6n+RJBS1XVlXtvkk08Hm0vG8ws
rpzA+Kiz4EcBmZmi1MysrY+aBlK79d+xuJ0XP4OxS9mbMrlv5ogkafeFUhxqNHWlw2ASgTfCPK9o
bcWMcaYGLXq8viqrTX9SGE4V4XGHtuL+DbStHK/IWdYNK34dexkacXHcqo0fhBawjNESFY5nXHQi
890FzjGQ5OjMJirKoEZaDyMtR1epf6FTp8CQZCjatHmpxJpzuhdvlws0Zq+MVosbbcBeif13Ur2o
3YEYr70XYGbhkBWbsWk5Z5AHyOxYXHuCApUeLC+LTF+1MuEkYfiiyu9S2aGqI/PSQYv+688K2YZl
GgSQKSIBDr0OWgRkGqaoeV43+OVWkQsM5mng1Wj3yQYsSkzEByPsjVnOs8NwK+lsKRnuyj46i039
o5L7ydKU6aX2pp2ge8gfhuewmtndqiRy8kT2IJYOepl+zMEobkCkl/NLycKBmdUk58Y9OguVM67W
ExoxhYiRlcgo69e+i3kvDEflxZZEmMos433QNa5SxGDUhKeK+t3QGLwk0C3xAL7VLMlHQZ6O/tqv
UPwi6vQLKA23856MFihmMQZqae/4FxrFtDtam43zTfxsLPFROGZu8wLWmORBOI7u+rdYug0uf8Rs
OBc/opHB5FEI+BQlqDCHXtrkiqXKGscZLqGAeOqf42zMG3KB4mHMEELGMI1InPYC6kZJodz5JZS9
/341lzhMnAOx1KiINBxkZHG3spc7pYbZA4WXhF/2TmA40kRUZ1WWNwijdjna2rAcTX3p1MmsU7tt
MJg5OmBvEVXeLPzyVYqhbSjkgA8VXe3Xn8/vtcGLFVhKEluJNpp5e0xRA4bMxBCc+gzyipEpNKAw
opyTsug2LoAZ6/BDQ0hyNGxYo1a6UFx1e57s1uJ9coHAHsUgpQil8CkHHSHwtClUSGFq2xyy0+um
sXhJgisQ0zaQ00MC7/obglbMGPIeppEFj7R0QjRciIhKFQfz0RyoRWu/gGK+mjeQTsyyGap8UKTe
VGsR5M4R5w7hoTBfDurgUK+Zc3VCeDTQGBCi25NLXrt4UaG5GRzGmozmfwYEYtZCKdfYHglkyn54
HCG3IYLKpz4biRPFiVnKnJv/ltF5dovzRA8yrBqFjtL1RhVJF6exBsgmM+MTfRzv1ef6jtx7G9Ge
hckw49/t/N8I6tYNZOlQX+CykQ2p4iySvt5I007XHIrG2eie+IdWsseIU9a6HZi9XiRbZ4ACb9wh
EMZd6Rqm72i+6cP/Q0D2Pt2nEGMzJvNNNJOXcgNx8saEcqrAeW4snYfL5ZLrz4wishyqCsxnGjZt
dBhH5Jaf9cpWpY/177pYOLxEYk4eTY2M9D6QSHSAS27H1pbFA6XoLJG3lbopoZFd8ub5bjnRmC/M
HEJd73zSCfjCtZmfJoT5mAo1Bx8SPGbw1rx4j4dGNjHTYn94js+rbss8Y2LODZniUOwieGyQ5G28
Z/U+eqttzQkdVOFcHxv6ENm6DXH5HX0sbeF7A9YKt34vYN2FVW8RNhmgEo12W/lbtREfhEPIeyct
ufaZ0AACjgSCKuygMaa9phh697jDhjsvHEDbwLu2lhzUZZTF7HuVpU0ijrg8Ms+kYFcRUtfjDios
JiwvUZh9rhIaKtN8RaVw6NCn05ITmCaU4KfcopciEaCl4pTiyyS6vbGho+isWzdvkfP9dhHZKKjq
onER8FL+0AsYNUT7YJrxiqyLEcDlKtn3UJMK0AOBPSH9UOmbuj5O/asqQFw+ea+jFzHf0nJXTo/r
i1u6nC9RmXeRUAzo906xOKUU9vGkHfrkN6ho3+pR+LmOxPuMjNOvOjHPMrC+W9p4T6WXsXtqvN//
EwT7BIrapM00H4sh8WSRkID2ddpMSWavw/C2ip3XnHQjoG0/fzSwsiH7gECj1XcVOXfU6aWfkXTI
JVtU0906LucLsiG2HwydJAaA9el7hRR2Jz1Q8raOsezV/n03sXEo1cFNkBbYpbBHM2kHOq5eeNf1
/lBR8hnpT7UebtcRl73UH0TmdI9GXCWKB8SqPHkiQtwUEiOci38RA0KyGNjEIPRN91VW67XUzx6E
tMFdbvRIBRlK3v5YX8nit5MUQ1dAbqZT9tuJ6HaC8MaMAlHlUTBHyD0lo00EGRJFZx+J8/8Nj/ly
qT+NMciJ4DHKx0o5e/EmHo+R/i31Hgaw8qyDLRrfxeLm///CC2piGMWiCrCxgzy6sqviGiwAnO7x
RW90AcK42tjvepT3AeL1pQOCK0sMDeQa9DOaWjhmx9ssxt2qfhaRWAQUOE1lA+05TjN9jsOTTA5C
w6mGL367P2kAtpioNfVYJB4CFQ0M0GO/l3Q7LHl8A8sB5wUKYw6Zglc+WkYhnncKztV22qLevktP
BZSrIhM1lNwMbXmXWcIp3YipmZx0h3D275Z0Zw7JLn4DYyVNq4AkJsYR6H6coX7kv6J/8ef7M6FQ
9CvtzqKuZk3W+KY7rSXvJ2o1G4XzG74eLGyu9PI3MEaEPPCQ1j6+Qwu+CjvtLfo4HGq320af5Y/g
QQZxp4PCveSsH5DlcPRi7YxFJRkZ1boELkSydMFEruXQbMlP72crm6iGixtilp/o6zgXaJzXnJRX
f1w8PBf4s8VfnFBPUeLYCIFPn04GKDrevGMfOdh7cQMRtsf24D2SO9DM+J/rC+fhMhd7pNYFVTPs
OcjMQ+RHlNMkOFxxXw7K1xPkYnVajHmEQcbqwuoz8g4Qi4ijzpxKztt0/rErxvN19V/AEFp7cmTM
HxGkwEmg/ZLxhoAshSnKv6dAxLNGRI6a1x686Iz+bN0XC8YFqpJNVdCNQG2Ln4Kn2EkM2pkEBHfP
KnKkYb1Z37EbfwQq5zkxCvIvdJgb7Lj/VBhqLAoga4/y2oacaqu5BSk55+GrynT1KWfCaDK3kqDa
jycI8ziAKKUfpLNAIChrR0c5gVh5J9vZAUVwPIwmeITAHiwzzyzUDjPX/thburNfX+ltxpr5EYxT
DDWQRCiz0OPogtUVmuifxsGz61O4y3fGCcRZP+NfR2LG58LWOaH1TdDBQDO+EEM+QRVXs9KeOpoD
GCblnnOH3bpbBmI+NBd2I5eV3umzsDaokZCpUb5/jzbqtx90r5+nLUTRH5pj+D19yJ+bu+kThVpf
sSTH47z+Z7+2ts+M39MmBKaijB8BEtsyuo/EjSRv0/SYQyGEs5u8T8q4OD8RM2g+AUozk2+YqVIH
s/hMX47dq/Bb3ypoEnC0+3XMRUioikPcCbSuiCGvP3GcDdmojzNrigQm5NawioATNi6wTn7RA/0L
we5iGIqZMAEiT2zpjIGH1G1swdTOz2iH+YGZ6t/q81tlCoZVOalb2n1h6mCg3oSf6l17iATOV77x
tDAqFaxFCli7FOiSMEWeuI+0Qi5kKMtIe9LvM8UZ9d855cXkC8tGKA5SQPwvxNNuWoFokrZjKBow
3ijMN0brd9sMTQWTqWVU9W3NCPRTKKbBnW8EbW5XeVre9X2SPIWTHO6TlKS560E9IDLLEkleonrJ
ExH08kiiASreRBlK0GhR6OLWfV97ZpSDedNRw3Ak4PcM6RMY7SK0DNZE3UV1jYYdIZEE3mPx5kKB
DBCm5/EqAHsRNFAYL+iNse9VFVYpx1R0xj7zLKWuhV3fzIBlAyJk0isuHdveRSn7rwcDZ3hdA3kS
Rq9EtJVdm2+q9X0YF7jLQkLKTaPF/rs+ygUSNhVvzPT2VgHUzB+DWhcor1RmpYMRSVEWQQkjadEd
qElZuAsKVUcud+g5JroEhZ2bZeIMmSDbf72qqJCFvE/A5xyMRX3IdbV4IFGjf+qFHA4crNsiHqYd
VYw7g4eKgCWHJZIcMDzb10WJa8rKno1zvh1sKtltAg2kOjLjI0YlNvHRd3WbOokDR/SWubzM9cKC
r34D4/ikuG16v8dv6KIjpa+B9i0GKd26p+NhMB91jEW/zXVgTNnZa89VsInCp3WIW2d69SnZBHw1
THUjTIBQpnEjSckWMY/99xDgMcJkNv4Bw928yosrUeuVrATbN545YOAMVe2+z2LOKm4Tkl/zr38w
GIfdNWDabARglE4SONF9+qIfxR3xHWlvuIEpFebE25ylL3e5LOYc16EWgOkNkMlUmQYYajtO4Hvb
9sssijExH4nkXJgRqqP2FFikQrWCPiq2aqab3q7xeNPP2j6zRN57bf7D1/HDPE3852sydieAz8oY
ggrUgg/J/dxHYOnf6IHch5a+0xx01GyMV+m1O3kWr+VrEVkhYK1E7UsCEdW1rai0g1ZSCWQ1D00l
e47ecy026WCj4CsOn+uGuXARgMwATLuzhAsCbwYM7sVI2qqBKIZ0HruZJwm9cr41qNDYc0cPs468
EYOlA41Pi3FtdNdA4p5xyG0U5EaRQ3c4Q+gnDvs0+sDw9vqqboMFIFxgzHZ7cdwquRJAvQsMITPD
3139Jvp2FPAO3E1r7VyHR/IOTDTQKEQx4xqlpo1OqDJklvci7osndTYLsil1VHdGzjN6YZuuoJgF
BT3xhkoAnQ9GQAQ1MtPgSQUhZWCYkookqFVOnCrdwhfE0QJrKtVBKCex04sJ7Qx0CYMGvyjOpdyb
sYLMLlqiCl5PzCIQuJ7Q2yFjBJxtafCJWmpZ3KFygrn6MZRMA6TSICxwaqV8XLeKBW8lorL7DxT7
WPcKJRenBlDjTMBUZ+exLb6tQywYNyxi1ncFv7Nx84YtlRQxXQGIvvPt1JPvY+SbgpjXPLPk61EZ
h0qpPFPbYlXXpteiP6L3kzHF2MWmnR7D5CBErz7ZUehyhOjJKA/TYPXRXZHcg/hpfY23Kb1ZQ1LG
XlEQEMkIxq/B1YZqceApqUUeUFZDRumo75zYjV3kXkdz3BgPAt6x0ExpzRfB9Thne2kXkc8TUT/E
G56wTx9RELQujGlqSZhDTVsciXCzvsClTcSA+9wCgK4N0JBdr4+2NPdUPC1AFvJK8/1EHrih4i0h
yfwNFVBXI+cBBmtWBU4Ju1FNJRVvU3qIe9sws01nDg/haXpo0NwgbD7Ittyur4ssnTWQZEPlRIfi
yc2Q4VTQvKElFpaatdnu32uniUwMjYDQrTVT89zZxDXu0MB0520rSM3sUiuGtJDpW/6G92NuE5Pz
F7j4MeT6K8dTWhVJjR+DhgfJMJE28yz0HJjNfbTBc1J81x4hXo0HUmjd/eR8iPlvM5f7FTbjuVvM
QkigfoDy1Xv8e9zbku+UpnLffvuh/5zcYYsekG1/VDUzetDcPDcli8tvtWhkF8ufzfziimpLJSqq
eS9yx3iS3zsTRa0TdWF01uAIpwfyUHDy/bf9ENADh0vCOxqmLYNQmoHEZd/7VQ6l2cYF3e/o1Cfk
vc517cT3AwdsYXnzK12HvOasQs7KXI5+nFdThYJ4H2/FVDCnaRtCzHR9HxdcAfT60K4DL4jQmr2A
dZqXYaFLMKFRsjA1CMZhDsJt2h7h+jycjUsQIQtku6+/mQdVrTrLNQjo3NVu8Kb0pnckrSk+3cfv
geNHWyQkanN9WUtH4wp0PscXtkGEIM30FKC9Vbv+VjJ1xL/b+lvxpp3IlpzBcVNtglN6kGaVAg74
QqgB7WhQoKKfUSWI/67BNWMaCi/VIZphe255inb63lfM4ZPcIyx8yF5Dm+7Cb/Fb+BS5zbd18AUH
BRJbyD9p6JYDNDOKkJbQOQi8ALFhdvKCu7A8acbvnnD84ILZzIzwKqibVSR5vu63i8+rx2HWxBnG
FvvyVVLe1eTvbR95Bhm5bB1Nvjcph6xumxEk2xloj0qzj22SnTFNu/6lFnYJ7wMZlg+CHhl34fUu
kcRT1L6bH3sYjkufe93NNVAb7kT66IFxUeBWWpe8B6gG4T+gkYnZQ3Z8I0y7EbS/Y2Y1jds7oOv6
MDo7MyOwr/NeQEun7gqLOQACOoRIUAELk8fpXXrSfwYb1W43ZEPOFjjgT+KnyHtpLljFFSYTUkl5
Ce1XCZi5E0ASJMcVGdgx3LF8Cu4ac6/7vGO+4COvEOeH4IUdCqKEoecWgoQaLuAf4mvsW4057kaz
tg3He5KsZN/ueAok8zKYq+8KlDGcviY5mCLnZRpPk3DA2FKvWnKTmhlaLNdtdClKvcRiEyt52lG1
GYCFZ1jtQCQJtWZLecoOkX2vPdRPvr0OuPhBwZ4AK4UDkdgcMWg3M3g1Ec6yHa0J102kPJdovftL
lFmRZ2Yaw3gISABZgmhR9MQJjxS08DUxaKntQsJgLI/V7GYpDAhjG2UBIg1vAAj1oJQFfWA5c2ue
o7ox+Vn0B+IpMp7hmMhiH3mi1A/qMED1JyIwdtnu/YJjAjcO/QsBGNC7mcVFmKx90xYF2M9BOjeU
hp2Vtm48SgmaJz7/eksQAUBMBF3xmkgU9pbOqwLvyAIqSZiAT8oBExxv/l8/CyD1ooAkSRKx63iA
MGsR6jyglQbi8yyQH+S2s2kmucTn+KGFjb9CIddOYUx6r428GUWOd5jrdaWwPcta7f79F1NmxjXU
VBSk4Rk30A1IyqsTuNW7hB6bQT5pGmaC0/Y/wFDkiAl6PcHUy9Z0x0kgakVRFq8hc42AZhaJFnis
2/NZuHJp2Bioy+EWhJwy1FGY24LkZYaMvgo1ZUo3vRE6oNp3e1+16yR6HITeDgJe5vvm+mUgmcsi
0jHANzQaCPdDBY3pTlh8+F5jxwMydslGqVzoc65v2I3fRtYYBQyEoRCsglAlY+LalKsFbVBR1fUa
QTWeJn0BjofCVSf9sfNSTox020044yHiRWILrAvIbl3bYeDJrdem0OnovdJtE6dQ96nh5mjD117i
+FWSHoLg3fA5lfGlVWIuSlGQ0kDwxApzIarqw7RCslWu9n5g5UNj1uGhHiDv3HEyvAuuCdU9xNlk
1hvDo+h6gSSLk6nMAYUgeJfK3rFNYsy+lr9bo3lY37slKIKAEJNfuDVwOV1DKeCl72kHa6FqJ2J0
vGhPejA2x6IuBbPxx//gqSDwgmkTsNKoc+nrGq8naCz0CA5ERVQHEw+mrqEcyUvELO0VFJwQ5SIZ
g4FO+RrFMOIR1oMaYi7FGmZnfM1EV+tDKCUK2ifyzZhl7+vfcRlRntc23+5sLa/Uqi6pSn3u3aC/
khHEfEppTn5Vm5Eeb2puIzkPb74/LwK0eqibXAuAV6ThbzForDob9gMU1TGc8qBWvHhpwfWD9/7P
8pgjPuKdWSYxPqie9ZtCeJZUusl52tGLIHj9gF1vJhVl20GzfDSg3Is1DDHZlfJDg+5gVYr//t7X
yAUK8+X8tK3iaO7lGQKyESvvvW3Kkzz98MOK0wmxtB4UW+EUcb+A25yxdXkCb8gUjfDE3WPSG5Yv
CGbAc74LN8zXFJKE/6Bizl79SqSMlQdhPYwRSnYgvonhm4cqa+bVD2X4kWocf7EIB95VXRZBogV5
4Gu7G4dAFJVivjWnYq/Fx0T+WaH1VP1V9P6uk5/WT9VCFKhBqgZBAAIbfEXG01di34p1h4gjNowf
AkhW5SzkvIiXHCDCMxklH4RpN9NcOESiQmr4WqRxdmKb2W0/fkdNAx2IlHNPLtkDojQNpaW55M8W
tEKpxBtOQ9tKpG0x12gm4nYegF//ZLfpW9yOlyjM5aEqYZoZJRbUJEr6U5iouvcGubqHiOP4IgmT
tkV1pXDRtZIgOa/Vh6hArRxUG5FxJkbfPampQ/put/6zlnYSn9hA7gbMvTcMC21STFkSKEjwGd69
HBb3Q/myjrC4kTKkueFA8MZihxmJTzNjrGaEsIzDfSemUuQOsgTOqaig3kcTdLxM6RIkEm9QOYFi
pggTuj4MXiPLXk3hhDE5+d6Lb1MsPxSop2MOIN2sr+42x8FsK3PwjHCkXqDCeAQo7CW9q7aOOmGw
ITDVyM5LGeM9bs27R5dOO7qacFVDEFQhbHOnJPiVNlF0NhVVswtVeTeF7dFLhu0IV+ZV7T5WKnt9
oTxI5pt2uTp6mQ9ISFWZjaKag/6j8ezE9xx0XWbhf/BneF9SiEbhkXkzWdmNY6f4AvxZk4Vuq4nv
mVjs8wI1WY2cmhG8RKnmrK9wyWogmivP4pKQ2madWlBOA40MhFwaCnDKhGbjNDsoOeosOuWk4hZD
ZZy32X8CEP9cWyjRopjmLSzUQ+lGjntMTQLX30Txj0EDm8pd6T1pZMOdLF50dbAY2IyCbiOWtSpA
u+wUK3NLXK2ZUpbeV0288bgcPktRELLr/8CwJFW1PvrQAwWMWPmO37wKKFqU+SYYJ7Pj8cstbRuF
mCy6w6CfdkMA7FNBiggEZBH5ex2Uh/WfRtlrltAMAcTMYnfdSBbP+6VvYa4+H2RxaNjCbqmtfBdW
j7mu5Wac925C/Q2Zkm/DhKGm9AweI86NuLR36IBARQKBM5JkjM1oZZd5fgSbiUsamwVVfhtNukdl
ueREYkt3AnrS4Kr/H2cA49LCRs7yaRAQH7Xjt7w0AlMeeSLAi7tGoR+B4RcwSsjzYi/i5Kgd0h6t
R7PU6mhi2MjMowhXPQizuTRxNz0X8NB46yPFAzcyE1dfQ+m5ME79hHY+tWl0ad8Ysp+cEGwWgwnZ
UEN1gy6qdVPtSXynNDR4JAFpD3pbBZw8ze2a8ZyDZ8EvQQpFZ8vQVO5pXyAKsFDJcHrVHD0QrzfU
zLLHdSO9PX4A0lF9UtCxjrl0ZsVy19NWNpDp9+pjpn4fIG+UZFs8VdFRxglrbo3yGmpe88U+Qsuw
kMGTmIEVE4z7hmPkCKN4IQQPhDHIjtK6lOZWuBTzz/WnIXRmTDmB0BIGepngFZEvwWwdc7pCvavE
wUe7DAhvbTXptqmWbGSBlyRZgEHrNW40HVkEGdX86+81SggXCgn55qzWPkA14moe/Idf+H8d0+Ld
8QeHFRGQBaTDehmFAjWFiEAhbGphcDwqcdzh4nIMzGR/EVWgrel6OYKBCk9dqvhqo9dZop7rpqHm
mdm0PJmjBccL8UgEqsjbIdODtu5rKL+scIYTA6R90B5JdUfXMDhz0vPQ1qvvahFsdKm0Jl4P+W3Y
M5f78JJDEhejHyy5kxrWQeSFQNWT5LmoqldS4JYW0aMiZrVJBcix+IazfnwX/ISEBjF1ltxVkYVk
bKST/ShppzC3PE3cdPJnMvbuhFhrpDzy/PkvXadBYYh/kFgrAQ+HXw8DkBr9heoGrlBH8KgzDd8p
Zo4bp+SVD27tBb4YbTJIuWvabb8zDQuQPKNWbcVV84KUAhQCSGRncsETO1swFyDMUu9w/HCCbPss
OG8CaDshmkMmYC/rEYjn/dLx6uC71/U/J0gTYqbHInl2LyEjtL6BvM/KnIqkyT30yuOzBnVpaj3C
uLuo36jkLdR0pxbeNZVzYy9aDJieVQOiJLcxUKspLR3qOLckFd1UwcNARlv0zE7jxK1LpwFtn/8f
B6WE6zNYQUWv8FQsDOwjyFy/KcZkeZEl0PfUeNMFHo//bSAiAYoaOPjzXcYyj2gYQw78Cs6yVA8E
ZBiy//eFOWkWbkXsiCrAHFZdL2goEyQaWvivQici5pwxZxg3qWGWWpFxTvXSYpA7BgPTlzdhi+Go
qCVCQjQ0PvuFSek9N6T6iqqZ00wNFLXm5lKMaLCBTluJcVx58FUDrTOz8OhBS2mzEcboHIjCOa0V
uvdIf5QEYa/r1U4g+UtZTqeC+L4tZPA1dXCPGpKCWLbb5wRqygIiMl+Uu836AfmaA7z5qVBVnsuu
iIbYFs6+6tBEFwc5VE/VTSGlWzFAB6wq2kVnWOEQYP7Ks8Thhz9RO5J8y+j+uqd4LhXIkKVBrgwJ
M7ZsUBceKpAjZOVyae93mulXj0Ti6YrfursZxJDQoIJkvsaWzNIkLdNi9OEI4IS8WnRVgqdltl3/
ml9FceZrgoOYULRO4c640ZirE2WKiIFjOWzoRrj7HOz0A3ySYGUpa9Mdf1Rvj3PTe3Y4xufKTF6f
hOdgX3zXbG6T6W2sjQXj7YyXn4YREzasb6Myk+QYC86H2MnaF22cx6CaYTuBnK6qWnv0qkepqHST
cvUtFz82Xp0zOmI4VsQdYXcphxTYSmR8jENjDYV0SAJem/PCOcYS/8CwEW9WQVa7BUyYo9KUqHdN
EH5b39CF+2MuTiIZgcE1Cl3ba6+kl8UUpwL2U60eFe+uy95lNDkOj3r9rijb1uPEigvZCOkKb3b7
F0F8M0ILeQyjHBo6dl7dxSOkiqxBsvtprwjfDdls+heh41jtQkIUqHMChM4NVQY70RV3hVGCmhyq
9FuhcfUH0ckt8g3vIdVW7HTXufGPn+vfdclCLhGZdcqIqdICbYYozojnUc73g0/PofD+9ygo3KFB
F73OSNIxt79aGjMVXZqDpXF0qmbclVVtY4iMcxcv+VAYiIRjj55jsErPq73cNaOPB6hTY9fOwXHY
dDvwZ1jS9/yo/MCoPKf0yUVjzF6URA9ZcqA1G8x0blUXcl4H8J7fJSYe0jx9gqVDJhvopBYReaMN
gPmGfaQHJeJ5HDJQyMv1L7xd1zfptl8M/v8SgVx/PU0raCumQADNb7Jr3gkYzUSUVk1VsuMjhAet
D+SP/75eh44W3DgEzbR4Ld3k/SIMU3dqDR8lPkt0LxOnT3h2MVsxexugqQEjfiIetAh9r1fm0Yp4
1dDnVraLzvrpWf1JdsbdtBefYtvS0SmGuTgQ8dnrH3TpbKG5UIX7RXchXBeDGo9BjgYA+Ky0srNK
NX0ZGQ5e2uiWcQ/bdgkzG86F0Y+ZrwVV0cFpnPPR7GxEhLmlP6O/Nna1U36sXtVteTB2E8d1fFH5
3X7VP+tjThstMEpTpFgfcb8PAJ7O2bGH19rIT8j//SqOJXr/OgiPo9kWlfM3Ye+0rZV8jPZo0h23
FX7pirj8DsxxVIVI9UUVP6epHbrVnkBUclDtwiFPRW7Xm8ExbGVbHsNz/GaBlG99rxfB0QSGwias
DC/I603wVT03kPLE6VQPbeKmNca9+4c4sDPvV9XbKU+od8Gi0W2GgSk8HCGMyEYVSVdVihE3hSWH
IjofwUvdQzPjPtRDM4lCjD5wLsQFW9YwkoMWD/CYYixnXv+FkQljR0tkg3IrzsAR1Og/Oh+hqkz+
ehYSNx+SuehBm58FSMdf42SyVHhBKM7P70rYTz1pUJKmPD7lW+oIwKCnA3UGfEBE3MzRjALNV1MQ
FFvqi/5dOza2hq5K794ITXTIDlZrT3vIRgknfQM1tnVLWXKzV9jMeS2jaizbEtjEqn+nr9UxuZcP
aWnqMFKjAIWODLrsF/FtHXb+q8xhvUJlDqselzCYBKh1ehi61/yvJR7mL4q8CawfglUi26NIQMKd
ox0nt4TKKUQUiGK0kzxL9RE6fcR3R95w4lKsdAXI3FYFCHGaopgBD6rbHKWjdpgOhiP8qu3RxgSc
eKi3659w4YwjUzNnoJD4mvkTrm0TPYW0b0TYppYP+9YYXFT/TNX4LWufeGeanqS5IFDiKKct7huo
lzVUpEW8yZh967us7GM8SxHCN1vN7+9SQbHX17VokViWBH4N7J/CPvyUVg5yiv9ChAEd6cprEu5C
8dQgi9FaVfdCQDE03RM8CMOPpHU7BFe8yHdplZe/gNnMmEK2s8wUnAlvEvay1pKzUtIf6+u89ZkE
vX9w0JBNQMVInn/EhQ9LBer5Q10XGHJ5EjMUo/cNaJyUsyDuFeXXOtZsC9fH7RqL2Ta0LAh5Ovvn
sf3QFBccmtFwlMKTEXE2b/5D10Do0rjYO8aTVXIswTqwd6BwcwT8u+6a3f+Rdl09cvNK9hcJUA6v
Cp2mJyd7XgTP2BaVc/z1e+i9a6s5XBH2Bb6L+2BgqosqFsmqU+dYseh8o4cna4ZiQTAmCfQkrlGX
azc7oAKdHJqX8YrsKttTIMmgxLd1We62V47n0MrSryrm6isZzRLHJFdKsLsvh1wH/4KTBMtoPmyb
4TkEgiRABtBPR8ONWbcsVeqkR7sJSgj5reVE71MTX8sovWDkT3B28m5olILZQPfQwrwJu3gA2eeZ
FsGWmlRXfR/dLbO5t8CEiPLFLk27g6zdKZhOz2rVdaYbVXmEzuQ5ag3wM783aSpwnfe4Xf8edom7
GlXutsfvWYzwtRyUQG+UEwSrT0lK7lo0EjIA8i2UK4BFIO5U/PU+xC0Cg0N4xau4lbN5dBzUOR07
oOSL1nFziG4pHvibwK7o5RIe9V+3PzQnnqDjgZI2gM0KxvaYG8ViRs2cV5D5KpYJ6iX7Ofu2DIIk
LbLBpC8jLNPMCUkFKYTCXcJ9MUd+LaRI4oTshSdMyEZ1NclKC090aO12XyVMeGc+SYLt9RJZYbIk
qZy+03v4Ys5eEQE1d0T9UbWftq3wVwxvdA00PehHMPnEVpbEQhhWUKMGqYZ+cDBAOzuCVMJ35bcR
g6nNk6kf5aWhn166LvTb3Dokszf1AhDC52MF4YwCNkbIwcMDTO1laqwLK0wmCwsmtaA9HLtjpdXn
Xq8yd8hUb1TCvTqKug685aMdAEzH4ZqMSbJLm1lipY2TFxVw7FAgm50z1K72Tqc8b38l+q2ZrG/j
WocZRptioFn4OhQeEojl1YgFU72eF0zxhu/bFj6fk7TMhRsVSOvA+cM2E8FQ36uNhneFZce5Pw4E
rPFkzAOlLd7GOemRF6NckP8+f7DLs5mGzeqEoU3TXi9xNndgF7BvkvDZCTHm/1AW50kVQPE5TTdg
0sAshAatg7K6Tn/MypgjY8Q/xWiFR2L7WJJXWTO8JJ890wJnXoF0NH3IUfYYOqJb3eeVVSE3gVob
AA9A/LHd+wXXnc7RcT/uYn9wvupaEPanUX/rZe9vPyEMocxOhyiR1tnTLQ4VrW9L3FCr/stkfg2b
Y9S/NOppEZFQfY7GC0PssQXROMvIRtwMlOYLuBPcadpve/L5gq+iuAbIFApsJl67dNetvlWrD0vZ
dSbuUtPV0t2ZxV4ir010qMerSr2KWkEBkfeF1uaYOCxBU9s3Pcxl1ezN8nGZm30Yv0nToUtEWFuu
LVA9APQP5DAAMJeuDQt0bJBPcOTLL52dHHRjuS+1JpCa3gVcRXDj+ZyeKDckxcXb0IIEudalNUPq
kqik5+E45q5l7Ub7OayC7Y/1OblTG5i+ctDXg9Quc4KUyWDP5ZjiNl/+MOaHOjmTGVBIQemQF3MY
iMKzD1BoIC2YdVOUOi80i1pR7s0wRtn/ftsNbjLC0YGX3a/8xyxVL9dVUdVJ5ZWFb1bPavgR6bda
csxBuZ+Kaq28KMAe/W2MSUao7ZK+z3Ag2hAIjtOjYd0bRuVa8rEVvc95IYDhBTxOAIdHyZX5PN1o
j4VBsHB1DXaMZu+AU9qA2vP26nGtQFcHLC64SeKsugw00pQGurRZ5TnS/exUruo8SJZIa4EXabio
/DbCrJpdjxIyLYws2JzlsY0/FuUkQ1Fl2xfux0FLH7dilIw/caoWVdVaaQwzdmpc5WBoOaCq0Lp6
NL1ZkJVUozAXbCGuRQNdSaQ7GWMLzDciBikMOcTZFObf6UWitbxaOkpj5Xflfts57hr+NgX4yeWH
GvSia5OyRDjMhzY91uC5dAxcXgVmuPGwMsNsVzM06r4fYSbMAnP42pOHKn7Z9oS7aOiTWGhoWdYn
GLaTEL0BiL7yVPV+SHadcZKdEFhNzxQBvrnOIPnImDBCdmDncQm4nEYthzNjG++qWfMSYPcnfRac
39xPszJD/3116mX5aJsJNZP2YA5PIL4VzIrpduU/pFI6XPp/7tCFXdkBX1+mKinsNAY5ar39UizR
v3z+lQlmp6J4HBVouEDSOXowoErn3C6T4ELH//x/vGD2TKs7fW3QQG6VdEegL5Tu6whklXrpDsLC
AQ3Xy/s3bqp//GEfMKAWHdtah7G+ICCvG+mI3rKXjDezt/3OyoNh0aE/0Cdgex4O6eL8d+vJ3hpM
CzPUdQT7SK+9+jTo+7AVVfwFUW6ol2GhZuChsivYyBrHtwg0Bh3XEmFyBTHOTtzUZjlCdRxGlMh3
umCwd4Z6skSlK25sYN4XGDvUemyT/vsqwjV5JkSZYGWsPsLCredgyO4hDuBZIHDezkKcmi1CY2WL
CXWijPFkDbCl7pVdf4pvypvyGV2ug7W4IJrB5eGuP1h//WqnRjEchcXCAcUS3hLdavHIqZBe5ScN
BJn5D0uUwenv/hTyKxP0QrZawyTKOs0O4ZdZvNjF+6R8Sx1vsB/tUXWBDRasIneDrazR4FxZC0mX
KVkNhyrQU0Hm/mtx1bjWtbSPfWevfd+2xg+PP6vHJFprgBrfqOM13UAbWIt7n0wTSDbc0XgvjZdt
W5/p5fD0W38qJhbTbmqNlsCYPB/yQPbiF92DUtnNcGoO6dF5llwnGILuJO21ffMQ+xAu2P4Fog/J
BGgbRYNcl1ha0hgHgAqG6RX6GHtF+6pW14P6Dy+OtbtMWgb8L20iHdbUQn+HyGLsAvy0mxvluO0V
p3Z6sa6/gGeriMEgVAVAIda1i4ImfDIK3wISaUkOU++X5qGMcYaSQyhbguWkDmzsCxb4uSgTMSqw
c3hhk74MTnJ0picjpDYxbu8kYCNLvLr5l8fJn+2hMbm5DJeWRCmM9mOzy0GmVo8e+AvU9uuYQ8xn
FBSGuUfByhxT4MQcVp3KNL0UPQaVQHTRdNVDJlkCr0RLyaQYVeqMZchhRi4/jMSrupPVh6g+Hsjo
zZC9Fb0fRG4xSSbKKiJNGuyF87XV3ZTlk1o/bocl/clb0cGklqHOqtqhJpbxcZrftVlw6+GWsVb7
6xMq2A4jMxlgwJ66l2WWHhQncSuF3IM/M5hN4youbqsMs4i5KdpxnwGUlzuOSSSNrdZyEsM0dFtf
tLw/J1l0BcnvU6bHp8aRvQUyOKViBsYkC84Hfg7DLd/C84jSnF0eDwW4O3qtw2GUSLqXyR9yQvYk
X3bKEvp5k1yDTkRQE+LGCi4QGFXCoxmUIZcWNYwiTllCd5wxBmY9BoWig/1MBMfnHkUrM8zG1nu7
cZIZa9rFwy63ba8Z49shVv1c+0EcEU0OpwGGT7jqvDJemXj5xXqOimv4JhGXylaYx/q6OURgyzni
BDolk6t8TY6ijj33+63sMm6aTacNYJzAta+Dcn2eek6/7yA3IC+uWr6mgyBH81f1T4OZyV+6kSyt
KqHBHJYvEvC89mtb+ku700RnK+86SyvyYAEwLVBQMIe7YbZGvwB85UFe4jhJzhU2/33SmNcDIaJQ
4WXLtS1m+0E1oSjlAntgUtM9ifyxvO+XA6o6gSO5ULEFB7D9D+u4Nkl/0uqM1fOoqrMY7rXZz9y+
kvqfU/cMslyPQG5tO3HyIoQ+riECAmQqOoSXppp+6KYM/Freku6sEJwXb6p9Dudyp6q+HQkp+Xi5
bG2OCci8tLSqb2Guxo3I0o8ZUV3JvreBMlqcs10GVf6jN02Bk9xwWTnJxiXJOqvS6CcEomnaDyVe
BwCsmCJKSF7yWnvHHKxaiRnuDnUsrxzfUtmTyV0qovDmHXS0Pg8NPrQNP2m/o0nUR2aN/Fja5c1Q
hQ+4LwgOHJEJ5iwtSqmyy67B9aAKz+jsBHUreihyF4pOooL8mXLIMAGOolIdFzYShYaxZYV8beXJ
TUSsq9yN+9vIp8kkFMJiu52Q/Kx5flu6p9ghxxgF3+m9lR6TWLm3Qd65vZu4SwdAKJq6loNRFuam
UwBSYYctvk46vzXOnf73LBZopq3+PvNpJrmYB4leEGPTPNhOfEtSIAaiUgrC+V9qH2DdtYFRABZR
05hvZJIhHsGDgm8EKgs3sqTcjfvuVBNR/4wfDL8N6UxptLemTE0NGJIrPCmq1/+dFxakVG4K+OMN
e6+QcW+yYrx0gcAHI0Dm2uDd6Z9jIniGcYCV+EIgxcZnArAGdA6X+RQdb9UeAEf25nvwfYT3/vRR
nkC1H+7yY/Ea7adTsZ/99Bi62UmEAObm8pVtJrkWUtvNtgYfZzpNE2XEI3mMwbIp9hYHalJpdhjx
WtoOec6ZDzZDTEeD4h+w/E84osJICObbgLjOoEXv6wOou9ym9CXnZdsQ7+UJBDsIgAC/pRwZzOZK
wQRm5qYDJKDRB/qc76Vs2YUpBtmb5dDpPwAKuDFQQEtm85wYIpQDz0/ApYA1prQS+P/LD2su8liM
CTBDel9DATxTi0AZU8ft07LzsIkKXyagjNz2mZNPMJCG6QAgEDCNyIIf1aIv5lBBcywLocnjLO/j
DOqFbRscIClEJzRalf4lbsSW2YfFaM28R6fKnPW7fAAsC9a6K1uxi5M0z3heT9Id6lLWlYL7h6cu
yTewawDAZQ6pG0cQz0r+nsCP/iSA2cEOBHIEthFdzaqcTxr8HowPo35Mo9SH0BNWfXZD0xEkbU7+
uTDGJNUebWC5MmFsiiZAlyRj9lSzMVyJzO/bS805kWAJnVS8bPD4YPdKUaNY4bS41zXzkEKBEdf/
LI4lX5mlYz3Hxq7JHMUFYdyPbiqftm3zvASXEwQX0F3D3YFJTAUJ7Q6QdSRAixyLCNxABQpwvWg+
V2RGZbaJUsxLacFFoHUbNXf1PnJH0aAmJ5lfrCPdNqv7cVfMPTgd0SmUFtPDLLCl+lWnBXoZbK8Z
b8+vvxd1dmVnTlCobCEZ7UVze2Ph1lhD/apqPAm85qNI45YXHAYogSldG6ab2PRGuqVRswlO9W07
eLWmggRUNqeXssD8m6wX3+MMCiBlMyTPctPngnc3b0mBZrQxfoeharBzX7raTaAz7ycJcNClatxk
abo7o2trPzaK1luWqRfY4y0tCBQMSgEGEQGW0ADcBUOkp/C2BhnF0L847akPD0p0HXeC7c0r3WAC
9bcpltFgKXPdiHXkN30yQlcxBm8uyRejM71UDV/TvjkC9voxV+pxlkUP1V8NeKYwpay3HfP0WFJn
iSL69DBu85vstts5bhzcFTtQki7QXKRtivZ9uAaBliFil+VcBy5MM7ukGMzajGnzzJjvFNVTh/uu
fVDTc46CuEggWGSLCZ9sqJVlamErmsZz0ZtuA/VpfWiDISF3yeBAg3UQfFeeyfVnZRNaa6DAjtoi
0GTJ3aCAMcVQbqWy8dIB84eLZbmDId1tJwTeLqEyV2ADU1CjYl/LdlLb1UjhFj3+M2VPCp+VOPVn
keww17eVHSaLoovfDokGO3Y4+teFXxaYd6/vpHRnq4IcxzWFUwEocDDmAkh/ufEtqU97zUDCLkF8
HUGeEwSsded3jXIw9CtbNIrINUfvxVhDnIQsWC40qtz41SLs5Sg+1IupgCUPaK85L+cbJ3cUP4vD
6yob/57WAVPwGHoADzHerJ+QMlqNCch4xuW4ym8poyME+uR6vx0eXOdWNui/r86LJC20UB5hY0qs
925Ir8I49vAifMQF+oghRVeTRET8PJMWdNfAvwse7k8cRUM+1vZC0cqj8iRJnhN9tZZjOz7laBcK
i0W8I2ptjMkoZa+GxEIpGv3cxCPDdz2Bhtgv/ehvGeqa4XgVG3+NLId0NKoEQJugroiBtcslrUg8
yAk1KSnLblK609LFu340d9tfjjPLDDsqHeyTsZCgmr+0s2Agra3pJVAde9fUHqMYTVew02Ecwlej
D7S4UJmSIIOZi2bxeIsKEQAKHMV2MNjZ3EROMHRSYa/L6IZKdhzk8bNsvfTmKbIeCi0GtEZwFeRl
sV+0eBj8o/I69BetwhRMBVHSSlhThaiPPcgu+lwNCIYMm0LElcQ9fFe2WASHPRFAn1Ksq55+J9Bw
yKGF4wGg99xEcRAX5VHtptqVK+fWlqOX7Y/Ku2NQomxAJEHn/qlbjyba0PYyDn4nA9dF+ODgSgWw
nOtIkVdUAnSPyBizN5YFU5qJAmOD9uFEe7XL/Cx5retgwjjjtl/0T7F3irVfzGHbLC1IXSgmc1Be
1OwbOIz+4e+jTQ8kMAbFMBt0GR+R3EV25eDvt07+qJDhXc0l/19MOIARQYQNJNyMiUpuNKdE0w4c
9H4Gxm25IoLrAYf6BjsaOjP/McESThaVnMtZisu7dVvGXnWejul+vqu/6Dvz0XS/VT+hFh6UQRvY
e2l0teO2g/QbfPpGgBRTcW0L7DtsPgm7YUxQC/YsufOMwp1bKFeIpgZ5yZ/ilv/PCHNNAI+5Zje0
DaI5z7V1zDNfXWwMJWtePt3mH9secaNuZYy5yYJKc66NAsbUSXIVcPrpokskd81AIg3INDiePs0+
o9ESW2qD6uYcAX8Huh8ot2XPStIK4ptvB4QLSAqgk2a/DcQVsVkpSs62ybiX8cIJUgxe+IrSiqpj
3C/kQHABiRaXRvaZI8lJCnU6pD9HboLOPCXQvep+GFXqysWTFj78/SeidF8YdwDg4xO3kLNAoqKw
EPLV/NqhyCmJimC8lftjAGOQl5lhrhc7z2wYMMdvFpyorRMRHRkiG8zOIehyt0UCG7O5c5J7zbjB
RXt7nXgH4NoNZt9Uci+jCwUT43AmCYhvj1XvCwXYRI4wG8aAipDaa7DSaO0ur9PdDGRf3jXBtjO8
g2f1wmRf7pakOt1IkwDVQLdd4jynABen5kfh/Ny2xHXoTwnJosu6ujckTj/jag1LFdSETChB5OY+
awUXPm45cu0P9XdlpcZw5FyNWLYhXu4NW3LHGsc2UXxTT58HpfOJ0+HDzej9ghVo6Qa3KONdliU3
TT2JfoxocZkbfSZnbaHT53t/km6dx/keGs5QsXUVy3X28jE8zH4RJM/2q0jbnntxWi8Dc0LOutGq
c4LFnmznZcSMbryUuwyEp1ZJTpOuu0hee/BD+CT/BwjiReGA2eUEb9xep2DRKL6epvcahIljAAK2
GRQnyuN2TP0/ftqoe4H/FhJSjJ9N3ZVzTfGOmOAKj9ms5TvUDL9YeXRM6gmXtaw3vNRIHkvHOcn1
XO22fwAnQ+PxhNcTzmjMqLEP0sEOiVYCZ+VFJcHu/BhLG9HlGeNeH06JKLnx3IU53QRsASV99DIu
ozurx8QxE5QPbCLd6AruxUaHmlfsdVA3S0FDORMzmOXWlefssO0pZ/temGa2b6Y3Xdtk8DRXrpMq
yOqXIhSY4GwXmAA6VqMVZgwlXXpXmFUYTxQAktT3Se9LepA4u3C46jQBHovrC1R7MVuDaiVkhC8N
DXOqGLGFZRzMgzqfSPmSjE/by8X1ZWWC3odWeSiTzCgNY5go4iDpr2tQgoIvd5kOjkhwgS48c1fE
YN8fZ5hVW5rRmdIKHwbE63l8mqu3KcJoxfu2P3QjfbKCESs6Cg7pVvYlneXS0KrpgkMvc5XBdbzi
mxb0ZxWCuduGeG9pcJDh1Q5OXgzn/uJNWq1ciuZ0VhIa29fzKXqYb2IQDkrH6JjDWi/quHLupWtr
nwCp0IGXiSSjR3Ym++RcnckuvrbP8i7aL3tj3wjlRbkGMbbvUB1LoI+YjGWlRUMWC+45UFAd0H/s
RsE24kU3PtB/LHxCLqRq7ExKDwuydDdAF7s95qH/Lx9pZYO5ZtlQFxnDATbm+8WfbzLwgXxvgnkX
vpI3afcP7z0VvHcgUELyo4xDl5sJbH/qsNDWdJTLE0CS4ObHNTx3t53ibaSVFbbSb1W9JlcjHhC9
/qXTvVy9KpLXbtlvW+GdGGsrzMrpYd5LJIYviQMOdahUTVdZspOSV0e7KZb7bWO8UKAsHah0UykD
di/ZPWgyQF0EFPncqKi5ma07LhUJLAy0ClaPZ8pGOCtUphhMeEzCqzRlgfAY0lCZHtDenZO3XoQ8
5n0g26FTY5im1zBwexkG1TQOelsMwK+Q743m28UubjFjLCJr4UEFQBf02w4bCBHmh9URsDZwBQbK
LgqgsoSi2p0RBlkgnSsR7Ie7citzTERUaZwbDcgrPbkFFL4C6SqFiQt2rMgI82hxOmdQ44aeR+Nj
PR6y9iGJjn8fbOtlY05VqcwiOwbK2VMMOADtNZVgTl8QZrz0iaseoF8IaOCKmcWSejzsceuj7fbR
b5fuapZF0CXeDkWTHeUrCyz0yKOXYWbYZMhVMIl7BGI7VTh55VzuVVRuk9K518m7reWCleNdFkAZ
TeeewEYBIYdLix0eemNESwr1BKb7oXZV6cHIIteYJTc2BIQbImNMJNQaoG2ZQl98RVCCUXCeTu2S
7GYFsju77YigK8VeGtZ+MRFBoYB2Sidkh+lGBt02dH/dMAny3G/DDpMtdxKenNsmuXG+WkomDTVj
OsxDh/cfcLentHC+dODe0HQiwr3wggQxgiYU1MoAbWeCZFjwFI8kHBYTsNFq+lJbLw6g5tZRiQ8h
ETwk+ev42xhbjCy7fC4tFcaqiBzGrMCsfn+ANu8x1gtXspYfqjn1ri3JoulCbsb94yXLYELkZDQT
OsFSGrbb189TpLpLfA3ZGMFn+yw3D2Lb1XqqTFT2IZLuQF0c1eobUfTGlVsDZ8l8tqopyGXNT2Ry
O9lfZTP0S/sZV7Z90qpuZ463avUUTTpaqrErQxL3HwKKihqAVRh1uE+gTE3KtMrC3pzM6NC2uBfE
3c96aQTXAu6uRJ/hl5wLFfi9TAFKC6C9JuGkNuWnNnzstNum2C/fo/n1H9xRceVVKK3/J0aG0akH
qV6QP9NE92aUPxwLk+siqBLXm9VlgPGmztqc1DqsyGZ6j9/ipVDBDcF5lmflqVNEdw/+ib2yx0TP
Ui4LUhlONxRxVLeRvy/krZxyT+71Hbqe14syP4Xys9U2npmJ1I24m2RlnMly6SQNWRrh3FPl7Mo2
HnM5fEzJsrOwsn//8SDhgrc/tooMdpDLIInytA+1EpbK+gy1sqY+E5FmGbfEAEAmIpFSToPQ+NJG
XKHtYU0yTj/7o5+fImK5UDHDhPZNj4CZEldNHm3wbW57xjvW11ZpQK0efXjgzg4EGpHhILvVyZ6J
6YhtC5yvBIdQIgI8HNrpLECqBnwBHwkbTJ/U51TD4yvWovd+MgBX6kQ4Nk78A3CpK2hGKHi3sAf6
OJuL2bWIf0n5Dh4E35zTo1TMvm20rpZ8bHvGOfIujDHBb02RopIRxvLs1E8NDiF3HAX9Se7qrRxi
YhyijoumDCjNLAB5Leqzmj2kmGUn0vdtXzgn3YUvzPE9tpLcVvjPi9XpGVQBO6sD3sip/cZ2rude
e4agUmAmovATLSH991X4mYvqDCOdsJLQ5DUBKMlL0Lkft33jxPiFb8zOsu0+UqoGvkWgQcnt2h07
ES5O5AezjXoAtqYsgh/JpF1hNgfTRQ4cyQR5iHP5ufCE/vtquQj0N0tIjyMarL3Zne1uNzUq3U+u
0eVeKYgJ/rqBrRb00Lgfs8++Lldyw2mR3EFX62vtVR2Lak6/Ju+Ziyoc+m2CffFllQRVZQkmjJ12
wBhroHuTW1xJzzfy7fg1OgO3/AT8zXW1D4O0cdP3/Gcq+hG8Q+ziRzCHptE2Nh0BQWWIuP3oOsp5
MjxwTlmQXgEjQa94aM2aIrP8VPXHdSZ7EGeQOqWE1aw23Fa7z/Ov1XQeyORGkyCJCD6kxSQRbYrT
tqZlVxOCW+O8tyXR052fPv44Q3/BKjBLCZQOrUMt4KVhj+4UBWOyz1MqiAbZl/0oUkoRrR6TOGK0
Maclh0EIXWCqdVnu4jH1+tgftbft7MHf2n9cY7LHWDh5k8uwBNGXuUdVT3ELRVQNpb2ZrX3A5I9a
L9quj3HBkGego30zfm2Ktw4ztIP8ViT+rLqDiDVOFBRMLsGYJiYYdPilKS99+CYsVYrWjbkzKfUA
XaMJf79zyDdpHg/genztKmO3/Xl496b17rWZtlcHwbhhocFdRTqGEndgiWsjsPCCzJtcm4VfqCdD
ROnH63ZeGGVSRtyYU96bSMQIdPsYB3LlKofiKj4if+iqV99KT8ghRedvO8u9DYCqHOz5BsDen2vY
uPmEKszaY+THuXzUUKiwpA8LQ0PblrjR8dvSp1p2o8Ry3vewNDeYuGxKt2r/ZV+tLDBLWFpW38v0
LGvAuW4NHxBdjURsbtzzcmWDzbF23SaNhtgwsq+m87hEN4AmTBl48zUgyAVLxk1JVLDIwpSD4bA9
QkUarRqj79jD6r2moFtj+1N77uPbStpvfxzu1lpZYlKS7CR9n+o0W7QPsuEbcuBUoozED4A/3jAZ
SYvUuFxGeDNKuDANgaR1QaEGStW5teKVzQjlRiiDAG75kuZfy8Ebe8HOFv0CJkGBwBV36w5etuV3
U/vA3Mv2KnLPrNUqMglqyZwlzCfqYfESjQ+OAkG/u7DHxvXzFupxlWikQRAgDpOpjKUI9QIa6V4E
IktL9sLFGyPwJhJvELWiRKaYzWWOjbr0Co1FFI4k+r2+xPOXIT0ZIp5qkSVmi2mYoxutlloaJQCl
r2KJeErrmtPHJAJXcLMf6P6BlwaDMAqAl5eMeplBAU7bA7L9KnWQszPfO+OuFcHBubtrZYbdXWqc
tRGt1CzWN0ytDePZDAV1RW5or0wwm6uzB6W36MtxtB9J93PWj9uhLXKB2TpGUpsgbsdKqQUEpNLI
l/u9Fv7874ww+2fWa3sc6DqpgwnhzxykHHst+vJfGWFP97xpkg51ArxLcQ4larBIhmvFIg5LwXqx
ZYNm0BK9pWUsxXom+lsc7TMRAd+vQuqnK96fb24zGwWalXWWUk8sxXUOIJg1bt/UO+g63Sk3tZ+8
gszUzzpX99vzc9RB4NmtryRBSuVu1tVvYB4CtQ0Esk3vfCDf8IzhJR5qrynPaXxWMGm8/eW46XVl
i+6B1ZNAilWSWjVsRdW3ECqmS529yInm96McdI7j13W+M8z867ZV4TIzSYKEZaHgeMS1c6ecFQwa
u8sO2lw/cy8ZffO47MtzeNUExYu8u4/e29PLtn3ujWPlNZM8uk4xs4W+maPxTa+eJYhBDI25yxQF
DSbTdos0jQULTf/kVmAxyaQkQzja9JLTVRBQIq4TBuAmdCXR5JZokzBJxTKLRpmoa+p8tCFMOb4K
JV1EJpiU0jWLLuPMR3w6O2t6KLJ34WjDL5KZjeViT+EZRICls8CN5Nx65V55iF3A5O5wCW0WP7o2
9oXiVa/qLnxIXs1X2R0P6k3vOf6zts/9XFQFEHjMth/qwpbmPvr18Z6y/s5pH/RYcNjwTWBihLY5
8XZg4qPLtLGW6Y6Yl94lySENnzHhux32/MTyxwYTG72phpNiw0aczc9x3rnxpO/SKXSrqvxa6CJc
CneXAZACOkfQ/KM+dZlb6gbKeLmGS4eFMSawZLpOvxua2K+rE0mOsqiHz68QofGtA56NoS92zCg3
izaf8hmV3of2BQhthEh8xmCf4eZ3+k0raspxd/TKHHNUNCHmT2cL7sXyV30+2fWRlF5uH7e/GY/e
Cjpif7xiTgPwYRT2WMIr6WDfz4F8HZ+00s9eq7fGVY7JPjmld4YXBttmueG4ssqcC0aaAWVSwGqn
nYFnlKdXIgk8o2ni0xbH1KCCBgDI49mX2NhkqplHaGpkGE+WD0oatOAIVie/jfa6NblL+voPPq0M
Mlm/6VUp1ST4lNmzejZxJfbC3gAYR55FZF3c5VuZYnbzYldpMi3AA/ZOer8UxIsj6yqbBHPe3Ahc
WWH2s4qt20Y9rJjZ3tagv3CXyzeGaBCGxwYLAO+fD8XmexMKNJNDwY1L5GNiPZMb1yQ3dRVM5Quk
Ie34CmN1cXg1tA9zAtqhnfNPb2mLzmCCk4xyY1+mklEHMfZo0gYYOlPadDbmN1OUHbnxuLLBrKYG
qIJuoAdB3+tE8/P83eq+dUughN9rPahFlATcj7cyx6xqK0Wd3IRwSde/GPOHoj6ZzpWw8MZ9w0Cb
D+xjOlpuLGuwPWdGWdBv186TN9TvJBTEIDfSVwaYVRt1oseVBQNNt0/zEyj+hKKGvHME5SFwHtOj
C535y48P9gGJ2BESrTaXxUNFupNjAI+z9Ilx6jBGdxPJEC1S9TY/bCcM3icCV4oNjCC4PYxPDDFT
MRlOMSFhmA+WdQ8U4qRepaIKCm8FNWiDaKBjAZ6XxcpAhVKqaqLR7aX6ITj3ImOBPLy233aGEwnA
OWI4G40clL3Y9kILZQApto3MkzH9Dvq0UHbB6/kPwjAXVphzY3Bqa+pNWAHTy11Vgbu8znaQ33ls
0aox0avZdoqzdhAV1EAHRVnbIAdxGRpgWM50e7Iyz+pJUDbth9ZNninJgtYM14yGQrtG2V0+qTBZ
EDkAZ46deUNSfSkGjM0ozZ0j5LfifSIoP2KoEcGGmKM/Y/UYs2IzN3QiZV5oF0Zg12nyIJvky5JG
SRBr/TkPq5s0MV9LgH3dYTGvwyjXXLlbancKa+eYtoaI540mVuaQpsO9Gn6TZZiYHb78SblRKfFS
kxyTt8QdIbGRLjdG5ynpKXeetr8lZ7eBCQ0ABMqUKEP04tJUgUF00qZJ7mFCBkMUfRR6YYEzWpnT
ECd1K3WifhhvvYHG/V9ZDEjFMSlYCXOp0ZQ29/phGlw5Mdt9V5WtYJyCR1NiGhiUxtYDkwA+7KVj
8tKGTTmj9VuRvSqfhiYgznUheXm9jzIfBYd9I5/MqnFb/SO0A6J/Jc0x7O9iEVcwj0Dt4pcwS5wm
URwlU5976UtLH1LNe+3XEIX90e9TVCCP5GzckcAO+oN5IyJX5EWSagAhBgwnhPJYfqZhUMG7QSOJ
IvtHp1zcojMV18J71YP2KXHp8m9HFNck5XIE6w927q8Hw2o/kcmK6kLJc2+adk5/glI3/vc2G6pX
ica6eA0u8xdv5H9sMa8BPTaHxNRhawYlf04OxZC4bezJy023+Jp2P4PhqJGCbQdV3p5ZW2XynxlG
SdlOGRiT8pRy701Wcq0qZfsWhvZ8bXexdquEpvEjHCe72kVd3xZuZsrhMZKV4X6cswJNWVWBlrY0
yUdHGZrBa5sW6ItK65XCyyRH+SBtZAZjHOGI6jBhNbmZqlWHMI2jZ1Loc+bXUoe5kHAwBM0nnneI
GMqQbBmYH2MekEYNVI1hI1ylhMKmD5DajqMXZxGYoVHP5jhoT4NHzgBTBPiZLvenM2b1rIBbHVLq
yr6ZlJ3dkmAONcHH4oYIhKswCadCEwcP4ks7kWEO7djgTBxnkCYE+UiMn9LQ9Kk7h2oS7py4DwMw
XHYPGVKg5Q0F5ljcKM2JqEP5C87FuqzJODWBpwbxBwsaWeZkMLQe0iLaDuTT4VHxwb3nTsGH4kcA
9ff3UaCdrNmVMle13f8h7ct62+adrz+RAO0Sb6nFdmJnc9bnRmi6aKd2UdKn/x8FeH+1acFC86J3
TZvRkMPhcJZzkptkB451L98CU2033I4e23S0847qvjoy5xtz3Zgd/9/Hie0mmlJwSZp5TyYDZOPa
sSM7fGSkb7h1YP1Kv/fS5p8KE2yMh3BY0rwSABBRVcqlWv6tAPflqZPi7OP6cb24b9CXiCAcPhCU
VRgUEwxNAWFBnIcFDEDW3qyxeWwQufy7CNVQ0AYpA3YIiZBzG5MH3g0kHRF3lZ3pAJindaSwWYm6
lgrrZzskOLsynywzn3fIfKwjT7lVPdvt0ddBMdbgs7vAk90/1/Va2ybB0Y2xlBZVOhts+NTqu1LZ
BOnK0i2BWpxpJdzTulGYZcMhwzq+x9606930P4wF3e8V52HaPgQ0j6i+j33NC/3r2q0uqOAajInU
TaVCdPfHep7e+/tPYJZvgPJ985BvBictV3ZweTnnuScM2sGxClavlhrGoztcxpnxZ2APane7Suq8
KAJpAxnDx8A1+oqKTi7fjhRJzGsEs7IxblIuU3RLoFy71l68NBAJ5CJCgKkyT8fagmWoWZeq3Zdl
xAUdR/0zZD/zLturDVzUmP2qFctR9MQx8nQ7gTc1TOOHld2bRVx405MgWdi9NJNbpdZm4wQznQf2
1DeZSNw3CGadqyyRNoGhH+Xazqgsx7eDEUsfVpI95UpneoCnlFYMeenaBL4nlgS3momXkeADbMZT
bQ6kE+13q3gcjYfVtDXXOinWxAhOIOiSiislxKTFXZC4ZXDoEuzAGkjV8gaDGRyNSCbCOPF67niW
xk2V5k6YWonfg0wnIck+Gcdn0r1FLDvUWedUcvzWmZLPsmlnqO8rG7yQgTC1k0+Yf35iy4qSRGGu
4xOs0I2e7ZImEc3+jF7l3asSfeNueFRG2uzIruc0WbmhlqLYmTR0BpGzbIz2nQvvwybvdQORZauD
SO8VxkaHYlPHv/K1NuZFNU8kCQ5QU8EFV84xbN0aLknfo6ij6SDTCMmvuOO7MuArVY+LGxGw+Hjy
gQ4VzG0YWBN0k8Kxr7U5fkVmZKB5Ooxu3enfKN8gtQJfh359IMNeHIgx1ltZZlhBlHDTlwG1AXly
V2xkoTkQTKHyPKJvA+1AnITB1IilVxKiOzkEfunNML52tl9Pexvw6yDwUyzXWoOkWRoLOpM5H9ET
uwzjABSVBDJVMNYWqavA1ZQ/eu1OC/xKdSfzPqqcEZ5Ieq9UJwP6WiG7bb4zix0p1nIxi/cnoHhm
/F2844HRfv41hDVz9naOb4vbkFBD/x0Mj6B+kgLK1aMZAJTTU0BEWt8b6S1qGAEAVaqbrvNK/pHF
XpGs3KpLDkrHMIhJQG9IgAksfM9QII+S4flgyL+n5r00LYB324BWWp26XJSE2V4d45CaeYH/a5Eg
jGoTkhovc4utvkH44ANtcd+jJXRr+O+cKr51H1NyJ9Fm0wFWhRbOR+QBTMqx6XCreOmO3dngv6Db
9n1EkNG/TpuAPpZucIi81+u2unQ1G7BUneioyl0EiV3aNIOhc4RvePPBcqb4wV6DAVqWAYwzRcO7
GC+e88VvYrvoMMedO2w0tpZRHaxC2UpKs+IcF5L2JnzInFhBDhXO5FwMT7MizAhyK7xhJKYTV+T7
HljiN7Vc5a5Wt/Jj36ndTT62sumMecTerq/l8qvOsqAjho5gZIKV4aKVaqTJ8EjdgoCmo8PnYLpG
7WPOn1FtJdRYWlUQBoMwCGjG4KgQ7lwlaTsrSHs8jbhPtP9YTmVpbTpn6RY4lSEsaYou6iqa5mMT
upNFU3WrZoAhL3zg45hrUx9LnSAoTfzVSLhzUDhmURJCo7jGCxPiKgpw2Y/3YpPTELAJxcYCcWzm
IKO8n5wb49e4XaNdW7qELMCWAgoSEEvIcp7bUAfgeeQI8Qn1hMPQqQlNumTFTBY37kTG7EFOPXUu
DbjEISOwMRwJynNlpzbRp5U3a0mvC0n2DAsCg5RR9cG5ExY0kiXd7OOeOVNgbWIldFQrd9Nm8q/b
/YUYnDogxMDg0eSn4c+5QiCujiezw8GTql3Yf8jBJl9zq0uGeCpCiLqqUhuRJIeICg8vKdhPphej
+aOXMb9jgwbB+4ZGJ2lawWNpVao1dj2L61VHz8khGgxvjKen62IWtToRIxzhrkL7cVvheAHqHwxO
Vl1TJr2ZzTORduXqvOL828SnyWnuWTjMahirk84hDZmGNnufQotG+Qti56h8a22vKGRq/5arHfgd
6HU9ZwMQJZ+eKsFAUDO2pJDhksmem+LObO+H6SAn9/Hxupil5TwVIxhJbvMKI3FQMEiPYaPTrHAa
3QW/9aRvEDWvKLV03QD8QJtxfgyAuwrHWO8HpoY9Rmfr9xyF7wiknslN8DSG9BsNGAAHlZH8VBFX
AL/2/HzVRmuCPhSSZOPWTjaZ+mh+A+n/VMTXzXbik9RRqytezTvE3yb+S21cpXbytdHtRe/6V5GL
VEOsplrHoUgrF47aNRRIZ9dNYMkVYQ4G+DfmTF5yQViWlqgtGApCDW1vACIix2jOWvV0aeO/iqcy
ktHImQrniAxwtA36VVBHRwFhMwFCIcfrSC1DOpSblqVuwlf80WJkcSpT8OQmSxUTSWO42BC0u2zf
hjXgL27l3Oej04R3oH5Ag//1tVw4tfP9gRlgTQZvu5hyl9owqTHAiBcFRsT6Gc83/52MaMapP7U1
QLOvip7gIiAMb3pcIQYAzQQbB+dC2MV1gJqJozv9kes0z+mIQYbX+LbdaX5+MznsiWQUUHXVA9mR
TccocU2aeHrjrL2zl5Jwp59jCp3/ZhEAfUqC7mxvb0yHPYdeegi2VDpEt9pNfJSfrq/1qkDhxgk5
INOLBPrHJsV8ErXd8LHdWhA1vAZOtis3v1YkzmZ6ZcVN9dyrTDwPtD6FRI4+cCrR1BluEv9hQraf
gew5XTmZS0/CsyUVjk3UcY5peMgD6P1e20+9Q2hKC8rudUf+UdyF9M2s3TtsMQbpG7jTlShldYmF
M8SiujCb4usDmkOj+rAx0/8Z3ryhrBFYqJ1TUPCsTOUs2DXQ2ZCrAhI/gUsSnwRGmHXM6oEL0hno
DgQih2n3dEy93jL91vhlA9mdG+8lUkYkjPAe9ZGwpyn5oyXTIUcWs2u2+rAn1rGVd6b9FHbMk+rM
tYB0ujZ7dXne508lNkBaLAS/ou+UYzKWU45PzRov5k9K/oH0RS/jlT78vm5780qfmR6IeUywtyHC
loHQKCZhGgI+mSYyM6crCrwlJr2laTaVK07z4i6YpRBjLh7h5rzwX8D4Kk0Wo1MD0F7TTVM0LwNR
wWrPzJd/V8dSTRU0exqaacS0c6+1AehHUDSUo/BHjozupIbOdREXoQ10mRGUUbhGw44itgSzVtIy
5P1Qmio/Ru3YTqDCQlkgDCmLXw3zGyuHpD/SJRgkVy0RDE1j5ZhORo3KUVy/Gkq4t6P6lYRrUO5z
hHRuBninz6VWtFRBlIgomDaDNKVW3jpD5ieSy4KHtHE5WTmCa1IEz2obgx4NGWuRM94a45+WPCTM
Dcm0cluuiRHcqV1abFSUrHXAwNLu5Cb+KfWsegMm/28FDTMrO7QmTXCmedbaBL67Raj7xxw9Ej+b
zU22Vou6PKfYIMRrCAHQqoJH8fkVYViNTaIxaZ0sjED7VJqhq4/xmrUt6nIiZf75SewZDwQjdlna
AkTOdvPO3qgzfYE0V2n8fz1Fsz4IMUyYNqgghHdIkeUxsDkgCalJpJkdqXOC/EcL0yD3gBpcufEu
z+y5NOE5MuldBMByWMRQt7da0De0KpuYlr3S+mhTGanJgcOUE7KWtVle0L9qCrEUJk0tjYRQsx6P
Za6ATpJQNuHdoK14pYtIGHwaaM8iePqDtxLAfOc7p1t917IYR4vZATVbC2/ImI6q5KW4z9Dr5OY2
cbi2BrC7tLDonJhp6768omD8VayHqVLD+NsBVDZARzuGyi7MP6NyBB+StaLkZez9peVfcULcAF4w
tZd7iAPsjpcadxZG9Ap5G2gPBn+JYz/vHMT8/26ppyoKJ68vUb3IMsgM2y/+XlYj8gVCe+jJ1qO9
9i67HJf4UhGNfeisVUx45PONHAag2doGCBZJ/GLIqF1uGmmXspAm2l5RceugIcR2LVw319W87EIT
BItnn1eBKZUQ3AdsL9f/JfaPonyppMYB6ST64XA+NGk3tgD1MMsNQYBYGN2mz7VNE2GIBFMkQZm4
MtN8E30h1z9uVlq8ntBe/r9FEay7rZqQaRKsG8DBVA2emPmeDCsyLmKuWX9FmRvFDKQcxTpJXddm
UI+QAXDOmo4E01NNxHvam1nnjR27w/NzrbR3WSoShAqOqc+tSR5CTEuPVvGSDHxjRZ1bMk7jGHzU
6BvtUXZLqo8SFerE+KOl00FXXjIZ48JW7zJjdHVt2tcB21xf8GUzPFkNwXHJZtgNCDhbRwM4UyO9
qd227zfZ+BPEcpRxLywPVn7Td7vrchc3Gj2fYOVCDxTKVufWz4B/HiWYkwdoF9saVrtVbQDYsXJN
vYuy4Ne6o/0B3h00S4bgtzDDlqP8iUPd16MT9BmamnqvRU7bAGGBoqvPelS4vZU+jlO0InvpJp+h
+f6faMGH6Rzd9GT2YZ3Z38RVtdOMtctgeRX/ihB8CONq2pUpNo+0A1COdLgQkDnpyrdcxokqgsvg
JpPVZIQqFVIgbrpFDe1PvEUL7b7esi2znQf1aFPCKZ4X2/HpO6byV0nBVErWhjxDK7ITpxhOIomX
mY3Hx3wlZl28WE90FE6oFTSd1cwXqx3vjMm3iyeCqyfdA+u9lrdd+vj/p5V47lqioSsZS5opbsMP
prk3h1/XRawYoJhQSZKAk3IOj6XiedDuV4PIxd+P5yRqmWjOgC89P8NaoyNYBdSok7H7tj5WZHv9
+xdjDh1dJ0i/AhpPDHXMvC+srIGPaOV0z1OTakpyNMpnUy+3tZnd9kPzeV3ibEoX18+JRMEGqtyU
K6JCojmiSO+M0kMlbY3iV9CuGNviwT0RJOw+J3KYYqgQMLP2fQcoUb3DMOhan+CiNnjvA5AYheaL
zp2UT1KiaxUcEMf1lmfDDsQLBY3kd3msnHaSV/ZrKQZGA9jc9oTiFzDyz+1B74ogKPJ6Vmrb6G82
aE2I364xCixaBQAgEfqCBUgRYSYlZJNC28TShWbm1i0afrIKd3fjKOEW+SYqFf43jOKvQHEWOmoL
tI1yCKyKja3e1SA7Kn7L9rNirtyJi/t1Ikh4NYeSXYVDNWsGNBmzdUdguaWfquKQaaXv54tDQjR0
5H3RfYAqJfIngv3l1hiGY9Qi5GM0cjD+cGM6g2+ONN7GtKfpzjhw/y65+XgIXOJ078fmtnOzW2NT
+YxiyR3k31eOxGUpGlf1yTfpQv63lHlda2YDSt77d8kLb7Rte1s8Zm8Atrud7pK3eDd5j6lMjYfq
NgQvKYLzlcjwMl05f8I8ZgOSRHDriTwSaV0CooN0jTMiL3ijbQY3ckE41Duth9GbB42qm2ilg+Iy
RyvIVM9PzZgFwD6wIfMznByg6r3JD+OD/F65H+DDcUcHjPNudKPfYtW3xorFXU43C8KF8IgTLSGE
9VD4Zu6bKbxgdNKN5HCfPxgbPGP32R3QwtbWeTavC/M7WWchNArxvA3KFGJRJ3Qrz6BAw05B29H8
3FfP+r1NJdc8WK7sqptqxUl9jftcky14qXasuDxqWG/MZvgTfbXuB//zyaSdb7rKjfwg3xNH2+ju
SNO3Y+cjQl8Dyl18DJyamRBO9aytuRngEwD+rcDEWu9pooMvOV9Hj/n5e7mxbjRvdUR/cd0twDmh
hIohLzEaRg/E2IQ91t2iwMtDuxT6LWj/rvkA+/JBJHibjGiNSion9wOUuFbCyKV4QTuRLu56k2E8
0Yb0QNWp3nsqGb8hQQfggYbSGai3xSGnUspimPOAGekscdBt7CSrFY2lJdTRVIUGD9DzXCBuKyzj
SSxDRIP5f7fawkm3n7Cc25/staS/w134PNJo1znZq722gEsX7KlswW70RtEmJYBskvbATnFC5kZI
HYDi8fqNt5giQB+egksciKYXFERmX9dpBdJrR+vo9JPQZqb4/hGiXmU8ZtSoHTDIOsUHEiScjptV
r7QUHZ2KFwwFpGhxbg7zGo/U+Dm8p4cE+KaAi8GUILWd9IeGh0Z+/2tF66W3ooU5XFDfaOiaF+dD
krZPgoprWF7l1cqonf42rX2fPqfqa2K4UXrT6ysLvXjnnYoUAk4r1niEeeDGqWOaPvZbDOTdA43x
ttylW25QE1zOd0aKCwiA0KhKJh6mu6MX1G6uq75g1AbexhiPQY4W71Uh8gjqJo+GCkX1wXwpCofk
96W+QU4RPGwA1r+31yLThQ1GZnueJ0fTF3jRBHmqOtrMVKraQZdgvxkIGtz0IOnxEALbzHXVFpwO
CNjm8XEk2gxDbJTK4jLudRnQ6ii6+3Y5/gB6zko0tajNiQhhE1ncI9QGQC4g3SraFpPb8vt+3FzX
Y+Hsg1NkLqnNZNGY4DwPE8yqS7S4hJBJQyo0TL0O6oBTK/i4Lmcp9Tqz8WBGCm8GBamnc0GhkmuN
1LU1WLdvBoSHwPvtdQCj0VACpMvOzg5ldLwuc2mPbADG6xo6EdCQIOgWakmZpH1XO42d+ywod5lV
r5jBUp4Lav2VoZ6rNRmRybIUMtISXTYAg9Rqp2AlbTW/bt1ppOHkRq0fhSvjx0vGMXPPw8jRu0Iu
riTCypjY6BXRxrsg+B0Px6L7c335Fk0DuPugaMGhQnPUuWryUIxs7Psa2FbPFcHIogas0wQ37Ot1
Ocuq/JUjuOWIxSiHtpADvolUu9O7O2UN/fFy2gR7ZKO3ERlgTPSAM/xcF8mKsyGQZ+vLi8cpCeZB
1+K1nrQObeR6uB3DacK8dsn2hRLtaqJ9EIzRumwK86fr2n71pwuBIj4FwAYqyiy46YVlVXQw3ivp
UDt9NoQZbYjVvPIiCh+sbCh/jjobVMCllVZOwUmXun3D7LsojTD210lp5cChsS1+ebFhoCxABw3i
kv1gN9yiNTHDgsbAYw4JpgNjqRw2cdFW+zIK2xfDlM2aZrzE0JYcGvEDG3TjV2in5K0dVdQ5h9F6
jQmGf1yAf3SPcZAqMOCaDuoAKoRWTe6Lbk5ZBeVoU7XqYx9MJcUfHkl4NNm2Knsh+ugfFFbh5Vwp
nXqjdp29hrj21WIurB/BfLCOeQxwyQEc/XwrudROo12PtcNMCUjhL1hiD7QX/kSmbWMrVBuBmZPE
n6HxR67aI0CBaKQmb7gw3NxARwq6Tln9X6qGVG84ho8VVNP6f0WWANf4XE5TkR6eJ8gEc8vQQCJX
BvZYbeNbju6UohhuBuvtuiktXK9nUuYDfFptnWzWGTKkkKbkd4BsqSMa2eh3pbIZTzuZNelTCqao
0EKnDIjEHq6LXzy3oFMBdAaa5y6iOQwiFKFs49yiMWSfKeh/ltg+CMNvXIPYagyKzdTqGCc619IY
wtwsk6l2os66L+XexZh1hDGUVZyOhTiNYB4LeQsZrQx4pp8LmiqF91Y++zsymh7pMlSnRhNQCmj6
OdYhgsYpLFRHzRROTbthntqx8Pn6mi743JlNbr5RcGeBsub8G6p+TMDzNfspxEt996cGvoBueMMa
fuiaHOHaqguWlxqalB1FzXxiVnvZCF6TzL7hYMR2ruu0kH+CMrjzbVDvzPH3uU5RMJRZMptpXSBd
qB0TsGCD47TnYFYa/euylvQ6lSXopQcR3qIjZEnkhtQbI2oPcrjPrDWUs0U5qC8hoEe6EE1J5zol
PTz8BGYVsPKpwG9TETobUqP8IWaHwRvTYC/X9VoIZUDKhuIi/CgctQgywIY0njBHh6OeYw5N4085
X0uULRznMxGzyifepG/1iowEfpVXBWZMFZ8oo9v2zTdcI4blMfaIqAXjrMLKhbGtFON8nPX6s86Z
MwTHRPp9fbWU+ahe3BEnQgQzyMPIaNDfWjuV9VV3kVM6pO9M3inKi5ZtDHtA74bD27uObNCgf136
QiYZC4k3jwzkIhXTY+cLOQHqh6EHDiG12VBL34K0E1jTdymSoZHb9GukbEu3gIK4Gt1xc0eMCHeT
98DpGOvZ5Eu+CxJ9owzDf+ipuC3Cfq/rDGAl+s7Q+Ot1LZcscsZowggmuv7gLs+1LINQSs0GWiYD
8HXU4g6Ttv/u+edBs/+JEALDrE9yzZxNxZDjx17On5JobnBdm/FcMnzsFgDHkLzSDZFdEbmrFBwG
DL6wJi5YtXy1nHYkH93rC2Yt2QVeQIgGZvY8jHKfr1hlISOr6kXtdJFSFTQj2DBaAyTHlfO0Nvw+
Mkzf7qvhCDDP/q7MstTN1CrAP5LwkTSW43aklhw1Kk2GtrJoO9SFKxu1NDp1lAAwErRtBwkJUC+b
1HIzwx6UNJDlYR/01nSjoyn5bZjUBJPjJKje2oDknh0pgAzFWEK85009PRKdl89NQqabHr1ubt+W
k02RN7Ewijq1+K9aWSaAAzS13KAhkhs/NbA29l6hFsVWYgpxwyEKHmyuVrgrVYv7mT4wxyj1fqNV
AwGXFuZxUFKJHgD9HPuyUgWgiQp2aSGpO0syAHM/aT4rrdGfeEnQpkbGe6LKEwY/JH1vVHht0Sjr
itzTWCo/aoPJgNA56Np2nJrpdaxNJafcSsoHbUJ9nGZD1AYUxPCZZxtR/zxkg7Lpqjz9kMJYccYu
NtFzJAVofLq+40tvXvRTIaiAo8OoqvgAVQkYdjILD0PZ0q19HFTlXcfrdgcSaP0VrW1BQmvWDW4p
DfYdIFwTRodk7FeO0dJdBYRF5GEQWgCoSnCGABBMZCbhK9pEpsXYOzo/arY3Nivx4NI9fypHsG8s
oDYOObIvdh2CbNcvSAoYIrfix763V5Z2TSfBNYAPN+vbFPGLnMe0A3hRhF7n3KualerRohxQwoF3
18RDUPTlXUhaTW2gk9ZGbsHc2jiUuk0tZXvdVJa86amlCHuUoaZWcgN7hPhrP6TWU8q6zXURS/fE
PE+DjBIwsgEvde5+OJ5xjY4MLDr8FGfqAPpWYMwlAoCUlBWfBcZ4gsTeleZa+XbJLIBHgkwZTA+z
i/PPT+IKQrjUa/MSMmWvxk4hhVRFujHJtijNfcMsTmUJKbO8S4bc6rGMJdDPKShfc18y5ec2q+on
tKpr3zlZJ9G6YPFhXo1NZiF5ZpDg08Trl4Zo/WrqzKa8sJ6u79+yKf59GggmPwItpQLQ1BzaglIy
pLWZeqX6HERri3i5YRh4nvsuUMKd6zlC/FLHIP4EZ2/uKBnS4vxZQ/NKaDxJuoYk4QrO6KVS6PCA
TiqSgsiQi8YRB3lPxkxHgGQDSuCPpLj59NANr/+6dMAZUWYIDGDN6hgkODfB0eCAwCiMGcRheEy0
TxDGHUpmu5W51jq+EHnO5E0zKsWcU714RFZ6aObMgigg/7hDd9NryDRtCa5G/VYxnGHyTEAmJPwj
sW5x7/67nkgK4u1oAP8LF865nqRD/bnsEVTLuBEja2PZO0zYIxG0xtlw6a7wEEE3Bjr+dR1nWzAR
W4uzkowQBFhzZ0y6uyHUH6/rsiwCsRJABfEkFzFA1UKuI91gzKnGcIdIBpWKvvx5XcaS9c18JoCh
Q2b6ouk5jLrY1gNwm0/Gpw1QC+ujrsDZwVfEXAaY8rwlMiwPlg7cu/NtCbsk5eh3xWrpt0VFDrlu
ueC+Xdn8NSmC7wMqEdeUGFLQbbCZ4nqfGPqvnOUrt/zimmGqHusG2BogNJ0r08ZGQooeYkLzPWaf
QxbQqnFXyXQXEutYtP/JwUDOuZzSbAsj4ZCTscaVqs00/KcVN1OEbJ6ZUoPcFZiwrpzs3/uAzuUK
pq1WBNFsMMvVWw9kfQ7rCS4r2+sHVJe1J4RSzj9bIZHhAE2MBM8kxcKpZUMQt0ObIkYmuhMOyOCi
+yjQXoNh5em9sHVngoQbxAQ9kKKNENRoWX5EkVDdAUmwuB3r8r/UitYGkS/fOzKKE+CsJ8ioYQxU
0KuTwNyraHASTZm+yhWSCWHXUTDRUcSjBw3AAoGufmMt8RgG2gOakOwLbMnUUiQ7TjqGtmPT4T26
ryOXsJEG1T/XXzBPiwTvF/4rbi5BubjndWVbcB1A6rmxcxZRUwEikIZn0r9bxynwgyCIjHLZ8xQa
jUCxiNXnnjxqmRfXaz2/SzfXGcKEcEkOQYQGvByCgom5aTo5GvcbyzNHpzRvFCRQysipJLcBr2Q3
3cbainEuuC+igtcPW4cpP0NMYzBSzLigALggYBpSpNRTR91T1GIliloIbk7FiJxGgd4pmZRBTBih
Fyv4j2vVUZcLt1WVbVGuWcmitPmGnGFOgfElOMt4qAaJ2xOUwn7JZXEr659x/DvsGzfCaOZ1S1m4
MZEgRx4e4FGYu/7a4JNAW5EaGVi8UE2L2YOUa3ur+nFdwuIenUgQHEglj3WYE0iwkt5haJuYlPZJ
TzP/uphFRQwDA4UagUXowqq1MRvzXuZwHHb4KFvDUYtXnnXLxo5hJ0DcY3iUiLn+IsZf54UBYx+C
p2BGLS6eLSAM6CW1jwyp/f7R0g/WbxnvSpa3m+sKLjliVCGRAJ1jD6TGz+82pjdVYIwjcxL7PjHx
MuI/484L5GnFGy55YA14QrOatooxhXM5tZFzRY0B+Jto1gHsFe5QmDQY0RJHsk2PWlmcr90xC61/
6I/CdDTqQiCIQc7hXGY2ccb4nHbEpOibHg47M867/6xMuy1b48C6xnQmPXo2a+sp5gOnRhopu1rn
8k2QVztDrzW/bCugBCnay/VVnyWfJ4VRpYJ7mQejAOgk5t/q0lB4PKIUVnNUCRsH2dmw8sv8d4CR
lJE8d9GKHS9t8/zcRicOngTYhfOlwLy4EZt1yBygi9Cg+7QspLUmzBusbPOiYidyhMjPrqxIsgsJ
YCn9Szs89GwnGwOKnduSHJTSL/k37j40PSCbNJ8eZJ7P9YphvFLAI4TmdoJkEpAs0CrW1MqKWkve
5lTMvLwn/kxv26RRbCyfSR64VdAWPCU2eb5uFEtHBBkDbNNsr+inOBdix02OztyYOcpwF0SHvNap
bW3R09MyLxq/s3AnwoSNiuS6aPIsgdfRZVpVt2q8abJyZdkugemBzYBuKzzLZhQnXcxnAzsN6Dka
fFtVNdSINMpNwCMg80P5kOzUIvANrqOhHRkSI0kdBcCqBjukoP3qwaLTV5xWxh+jWqN2XLJShJMY
QUf/DyZ2BauBmw94EuFBx1rLBSA/TviftGw2hfLCJsySHMrcvb63SwaEtKcOOCmUmnDuz/e2tKQW
+I0Z9rbKk20lZzr6S6LhUGiZ+R1RWHdE70RGeUvwejrsKGAEyhX1dCAjoBEH+dm0+PG6Rgud5Bgs
hBQQiwBs/HI2BvBgORra8WJlxsZKo5e+jQ9N/3sMfmmc7+yoRWm8kx3gAB6VePAMtS5dSZVpb3Rr
41tLwc3p0RF0TpuwAXsDjs4IWDwLk7Og2YuKfRu/qP13POnfgyP28PdoruNZCFGh8lHa2yF9rNXn
qtxdX91Ff30iRbiWTcLToTEghdg7Ur6N5T04QXq+cvkvnYN5ymTuhZMBWypYpR6irhXneIWFWuiS
7reMpCikWQ14nqXYRw3Ysce1QHTpKBCkHwhan5AGE49CnBRqXlvwPIjiPYL+nAQ5ett6vL6AXzMr
4hV7KmaO7E5cdqtUSScRiJFQrXzpUqNHo1UTt4nXG9Z41EFUF/iYQGcGRftDl7ulQvof8FUcXR1K
CE45u88kByGBUjzZqtS+Dp0Sz1ijaJMCIQHafvwxAhApqQvrMx8n8tSbdVYiE6DYxyRIyONgYja+
z4Pmo8JvAegf+ufes8oeNm2E/kY/lPS+BcITKLZp1AJk6rHmyHS5OLTN4CRJVdiOqsmpz6NBYx5H
907jW01mUj5NmtvUVvlQBtWUo4E/Q6dyV7aWYw1G6VcAmcvDFiyQjV4wDHlHXUkAfMSrO1K3ykRN
c2C/pM6K30c5BVBPbAHfmII6Ha+qQQeKDmuqsHP0pFTNm7S3NFe1QvnIq35IDp0+mg9KlJPBAy8z
R4VlULP7VI07F7jfoUkjHXxhegZgUDBRysFrVJLBOkQ5gALRT6ZZ96gJ17sorC1/SHpEB6NeJvJG
Z6Q1HTIm1gtPKpCfdl2fbZS6Lfxct0vmJ6RtAPEV6/wWoMXDj0COks7hg1R6kaGW2YonXTqEpyYk
XBP1xKe6T3A8ckBVNcFdFzxZSPrY6fN1W10ozqEeBnBxMlNEAGFMENQksh4pc4JxHO5ZsY0sL5H9
sXqxwUZZJreBtdOk7XWZi6fwRKQQ0QwYUrCYhIxIDYz2Uq3QAhuVj2E5fVyXs7iGQPoAzhwgMnDm
z48haaqpZxnkoEC85aBYKKrkJdHMp7LjK9u1vIx/ZX39/OTIDyPjsTKngidzq9if8vjY6rEz2j/0
0psmr0kfk3qNSmLhkTE31wH5A1AziCRswVMDzDSsgR6OJB05hNVDwQ/18DOMfozoXDH8EQc2fsY5
p2AfxNglLVQ3Tt/b7PP6Ml968vOvUM+XGWxRdtBG+Io+xQRBcKzH1GXy4ATzdNdbFDvxWjny0oAg
ce45n1/4SL8LejMD/INx1DInxWh/WUm+Hts7HqyJWUi+Qg4iNUBdmYBcElGDAt6bZTYVuAm5edRJ
/xj3Ub1tI3JjanFBczXlTqThkdfG9S4uqsqz0VO3YlqX8YUC2D+MFKGNEhwuIojVhM7UMp4zsXHT
HBDLRpsgtzu3HaWWkmlENtaI1H/3CrPmJhZXQeSMDzjf00ABbLmSQmheoRn2dxqNVKuxk9KHlP/o
xztQTI7TWt1mcVtPhOrnQuU8yMJahyENxrRNFPO9jTq/wNz9dXtdOKtQbi5BANIYfGRi1kMGcUhQ
6A3yAYBmy/O7mjzniDZyTGKgHcvLm0MerOGH/x9pV7IjOa5rv8iA5dlbDzFHzvPGqMyq8ixP8vj1
77hw7yuH0gih+y66NwUkgzJFUuTh4XdfNMuckTU4UsRezmRzwDXstobJNvmvukndBGsFAoyDiTBf
q2e4kMNdxgDcOyN6sfCtzaHIPlnuk16Q3syf4TK7uVSFs406sVvwUUIVVt9PcuEMo2iBh+iwOEOw
lMbUIwolUhCsI1Ls09i6N7OjhV0YznVjWHVei/Oaz3Pht/PSStBigTLUupXMn1JjONOwV/F0Ccip
J4HTMEUgck073KiZsB9ARnBRXYq01aodegsVZoVpXpTfjvENBYpcFa17XzOFhRx+01AfNeooR5AT
EXo0CPUZRrqnLPSun6BIDG/ZQ9ZprQwxLdZ921gREuW1V+bCRXOz5fJmB09kgoEeJFNIHy6Pra/6
MgbOmrpl3GMIKOwDbaOwNh6BaWRqfsaiFNTMrEq6AUKs81WQ0HxYfd4dlQZ0zk5fg+jzn2sOXkEM
yavwy4hFl7+o7OzSjmVw8oYGJhDqPGvcsOoDvy3Jr38uaan7fDYLKzXVWsMzAbpbQfdYBORnY2qe
WQie1Wt3YSmFu9iENlM5BviSZv9qs9IhBZbXVfdAO0TyhNTzDW37f6GXhYITKiFz8sRJDMs4LSMF
Je44toJNUsn6oQCFJ3qbmS74WGtea56/wzg+AimS3csjZE3GAFuHqLZVwfRT3MXUcK9rsxpY0A3D
UwrpNKbtOXWiIE3A+4A+RzW0TjgPJe0Uece6jcp8Yt8pRuSw9h+DbzCRS1RQlaPchRSQkylJtjyW
A4rbmBAAIAt0IdO4zzXNNygTfK3vRUKIQpkeEDq08QH3vjxCM7WreooVio5i7kySN3WhQ4z3WjnT
/kDr5+unueYml9K4KqGZ92zKc0iLUDa26FaVGeoqjVPEghNcmYqah5rxHyivgeLlR2mkqc4aOus1
6rJn6Wyj2rkXg8yZNZKbmMTrx1fs0XPHajgHmbkJklFgOWu64gegjAxGzNl6Lk82z4FBG7DkAXvg
mk2Qf7VW5OUgLpftWPAN1+74zB2KwSt7HrHQLyVJQL0ZtgR6bztROzCVTH3tBD0xMSzTaKAqM8bm
Vo/DHrQ2aE/iOYgc8V/8BEzTIRNCd3q23cufAGZ9i4JTdIa03HZWv5l5mNmdbp3UZN8PsWOateDu
rxku2j9YM4/x9bkrcynRMsKBNFlcuIP1YyLIYu9ykKk3JHLMwQubfz7pAS8q410y2xTad9zXVKqi
xEYOjA8orVUdq1GzDlijAYDaoCWxr6IKsmXMaoQ42zkC8hESw7hYNwH8KVbVcBFSjzsompqovtLA
UdUeCxIeK9sZ6Ic+3sYppo5vDWM7VWxz/abOx/ddLqppBpbdg/iNO15ima0WgsXKZdIPSVOOFNUR
Gop6lWsOHAk7ahQAqKuYgLr8iAaotBUdBMKuqUROPW6L4m5I7o0cNbVtZOzk5qQomynW3B65FHnP
ZUGes9JQ+NPJw4bp+cWNaa7LH1BMRE5tSQbYdts8WG7vd0dyNPbU0XbBCQsCQaghH8298vBPT3cW
C+gICoIAtfEvhz4MurxXNczYVNYrkII7UhhnK9JF6s3nd/kVL+VwOQbRC6uqM8iJsO++qZ7Bsbk3
MPzZKCMCGQDz0lbp2scmBmtd3zgli1GgzZ6vK/vdPV3+CO4ja2ZO4l7G8LA+qrdtELmx1vhJpp0k
I8RidMtHz8YrIP662O8WfCl2tr1FftWlCjh1K4hNaxUZv+qUxPRzEQORSDnunqBkwMLOhpQ6cy2o
MTwD+K+qb2PwI0uPwSB623yPKpdacQYrF0ZaRcgd3VrzI/B0Ry61X2URgdyqFB0rzGYOQMzxcp+M
ZpEMb4fBGywokIct9ur0LYhX3q5/oT+jXd/McyGG+0TjZJl4dEKMdp7ezNZRPwHjR65/YK/Gnt2X
DwaSkV+S6FZ896k4w/nVDojCDMzlcp44NBsTK2Jw+zAnrQFEeqh/m4ZnKrdd4ZiZN3Sotu2u6zr/
zW+qLmRymU/IGtUcS8gkwyZNfg9668wZSHLDIlHJ5XtkBEZ3hnBhLhxgZx54XETMzOsGl163zjU9
t9G51m5Z+aJO950mOMs1Q1nK4tRqFWka2wKyNAyuRoZfBp5WlI7U768fn0gnLvzGRIsLA1PAmJTN
MBKNPkDxMzaUTUKZY1DVNVrLvy5RoJnOgTSnPmyrOpxPsbwtwl9m9xxPiWOLItCaXSA9wwwLileY
4udssaaZ3Esm+GF0M3Ws7MboD+DbdECfhymn6xqtOcSlKO5bDVo2FK0BUWmyD4ofsrnXw1//mwju
M9GixKSlDhE9GdBXuZPKrwpPmOtCVr/M3yPjayB2g72WAZltLm41dDZoDcixDsRPYBm3xA5Ei+FW
bU/FmAw4h4Gt4Ws7BiutGptcIG9QXqYkCdEPGLy6H49yRp2xUV8N+5+DPXGHUaXF0wVZ0bcEwUb/
Jqz7ALwbRQ3EIgIJeF8jL9Me/8VZYoILGSbwnt8gz2FBagwCmxi+pf0+QwkTbQZbCt1SRMayFifh
zfE8AEICM6RcnIx7LWmaCYdYdT+a8giEh6MW2wErJmoPvUgyCIx99V4t5M1GtIj+eUnDXhkgT5l2
Re+oiheyd5Ocaflx/QRXmJ/mkQg0EzCBYeC5zt9gJe7h2XGE/dm+QS2CvKa7chef60P2TNxGckBw
dYc16b/sdpd+ShuB+LVgthTP3Wq1iRrZnsV3m+KmBWkGqquf2VHaxl6ziwr3urjvdw+VFkw7YeId
gCJs9Ls8ViWXwI4aJ40LbgkgaHt2DiZvVATeflUKuIcx0YVjNfleEBbX6so4ofRWJbtBPxnhcz14
kv1yXZc/6PPLmKyC5hNLJVGzBXyHf6GPPZmGHANcoPKTnNhX8P9mS47qjXIAC2foFNtGdWSUsJzo
YO5jDyt8jrFXCR5B3y0VvwJbcvG+A24Sg0nckWp2gr3K+NsZWAsnTyJOXm6i4q6sBZY6/6Fv6i4E
zae+uBK9FUZoOELdQf0CM1HeYT/Lp+BIRTK4y2B0ssWkFMrI9+xUucbe2qjbDscau2zXbsJt5JZ+
uqUOcgQv8fW9vLV87Sx6X61klioKL4Dmz5Mp88P5UldtnIJeBnWMG77UX9hZDVK2W2MbOtIv06c7
UKacyWEUwLxXkLeXQrmrGOv2ECuzUPYFZLlnOtOuPsWOtm820kd9M+6uH/baWS915IItsVI5kjqI
S8YT+BmM7qsQIRZE58hnQW2pKFUzQcZLubfOppPfSw6RneD0amPpEzuT8/3/pJTO1TsGu02ZMgtU
xn2i71V5K4kyu++h6OIz6dyjeMwLMwgyiDAf1Vekj17pxE90awrMYY2mdGmD36gjZcyUt+P8ffZ1
4RDw4rlkk220J9wFv9iPm3b3bPnUCbeZE8RCylDle95yqSf3ugqNMNCa2Rx7P3Cjk3bDNsl77uN1
dRweuh3DHTRxF+V9vL/5Pdwpt9i/7MefAQxVtHldeBackytkmqgB6mO4j62vetEp2VCQ5W9sH3Th
n1h1/CJtk5vH6Ny7yVb09lqp8lyeBOf5bH3U9XT+EuPB8IOtheLkcfQJuAN/nYC/+cK4/L21swVv
o/l8eX+LVtIcXTAAhTm/Sx9UStUoM2LVrhnL24zlxzosBFS4ay5gKYLzOKCBk4eZMsrFIPKuLMNd
jNtStVQA7l0LUQhOGBK3zHmOhSsHmGrG0E9FNlr0+o80ylFPyU2ATSP9oe+ZtaG6Iggka3cUxBsm
ejpgFkZwvjw7bQws0EPM7z0UdLPwZrKNbdf50bSPgPrFJHKeChzPWs6xkMiveQoqXR7bbn4dFS9h
UflDFX90dN7h2olqyWsXE+sD59F7C0RpfHBCBTmNg/lBgYmhYxqyByNPsduuMp6GPnhowQOFkv3z
db+6egeWQjlTwQBNVecy8kQznO6AsvOM3Pqyksm1zY8R2x3SMN6MNa5GMUr3RtHcYExyK5vPcgY+
a607UN3clGn4cP1nrVgWqvcYhlTmmbZvz99CD2trSmIQiEoA4pwTsHeapWfgQW+JuiQryB/U7tHn
QsmHYNs7/wTBXj3ZLkrkrlGCxSEgaS0lj3SlU8bjJsbD3lQLggnZEWWh6YHqiX9d1dW7uvjqnElX
FDjqIMcHIGzaBG19M/SlW0SV4EOvGhc0MdAXxeORf44Arg1mugEuIR8+DAYk0Ri6cuIa8t007BpT
cq5rtfIBwQU0v1PncWbQN11eVCbXk5xY0CrL35lKNxap7vPpN+0wFKOLWLBXdVsI4yJ3BRJAs+og
LGjA7kLTXdqgneYa0bFhe4L+2nXdVr/YQhzn9moA8fS6xlFOAVDvXe8noA4eYknwABBpxcXpFjQO
UhfAHQxYsCKpP7DiS5J/kOS1s46m9PO6TqtubqHTrPPiEdANdm3HDY6wyBQH6apXsZ/hQPcZ5pL+
N0lc0G0kWsfy/OI36O8C5KuS4qTNEwU/1XU5618JQ4igdED/k2/QgzJAMxNio7Kgag5gfzcMwI2o
SXfXxaxGc/jq/4rhvlKF26abJWJgyVLZC4qY7MY+VP3rUtZt4a8U7vPQGMS7VgtljOYEEq6Nar51
/b5kWxBCVtb7dWHrtoCJMQtwWlT6ubuLzcOTHUiwb2ZJ2DKH9yDmxlSQL0VUESQqq3qhQYxuLdBR
eNRfml1lDEQNsEQKRUEQAxkPavVqDpIzFWCDIS4Rgc3WvBLK0sB5gpMAzVP+GFX0o/UIrp7WupPW
NzWo64ryfuzeau0f03zMJNCo0QFujTk4HpBMNaT44F9CRSQk+q6rQ+TRShJvaanfZSCRerr+zdbM
ELQiaPLP2JpvS0k7WhRazkLwjNeJnyvhzRgOm+siUPjD1+AyVxADYS0pNteBdZ+nakwKKx/1NG1c
C8Wtg54k0bsZYh0sYT1AQ5mSpk80kHpfVsNiL8Vq/sUKy3A7NSgeu9KKngIgWe/DkTZ+SiXsEUxi
HYUcSzr1at3dtIz01EFzEsdUqmn1NVh585Zmg+rqDSnfwCNvRe5ASskNrGL4lCVJf2gwk35TZ3YA
+Goe7UgXDr/i1sjVmyHQon1oznlaNsnGb2NgReOpWaTsy2mQ/D6csv0kR2buMTvVg6OWRslJL9FP
cPIh17Efo2PK6I3DaGCDgqRhx1hqFLaCTW4KpmaDKdciH6u3VOo0stngGdFHvZ/JRufjJdn97trB
brAPOAEu2k5aW3WDfqL7kajDMSFSfmqyvH+y0ql8aaTqGayqdxDV7YaCYqZ+lKepc5hpg+krUnKA
zgJF3WAKP/toTWa5Eymzhxb90V3Y2AT4cwU8e3RAxxgUsXFd+pqR9p075rIBGrFM9Y1ETvYko4qf
kXnKXR3MAyxJ8mlXN3up7qqDDtqq/YiZ+Q49hyHC2AX4q7/SoCXhQcumzMWvLq1DzYy48CutNsE7
Gw2Km084cgcpWwB/QWVsPcjqdGaEHstHrY4TJK8pohfm7V/ysh4dJtn2ZugCUH1WptE6ltbIHwMG
MsBglBWj4Wl2OGAPDcZbNsAHJKVblV342E4Nsx6zbGhHt9Op8kp7lu9KbSiJa4AsctMTMv6UzRBs
QTUpSz8HM9zzaOObeYQGRgFAhAaZSq1Hrxqoha2DFlb2EzLvfDeytlECB0ue1fOEQTTbAb+vYe0o
adlpULAh9dCgvYB1FjPvL61krPArbCvQHbAFjZ1TUNucnDYuUeFR+6LbtJRqL3EeplgAkVF6kHJZ
3pVBWu+GCrw4Vj0B8YpJHg3PplQxqZOGwZPeYY9FN8js3KrYRBbBkx2aiFa7QGL2Se2zWIHsME08
U2bhjmGHwgMw+dNe7dFQBZ41Jn4RsHirDRMIk0q7Ax+3rvehV2Zmt+/qFGCcIR6wcAHcA7/VuAsT
p+lipBedMmAPZjgEJ1WSskfZLPpf2PoW+6M9YatbX7CdBVDar0gawOI3JNZ0TGkSgJhJV++rhkhu
nKMO7qjQeaNXHRbMTFJYf2B+PlYcMy/DdyVJ0Msq49Lq7wJK80MdZGDqsWSW3Wt9Yz8ypQrvcpWO
7/3YjOZGTlV7O/VKQHeTKTWniGQmAiBQS37OUuMepGhy6/WWlJETk7PyQZcYPSqSkfwudCRPmGCy
0QbUwHvsY64Wq0SN1Or6R9ZTrLQA8ezBmMzRAxt3guWYxBwFcXtlbAMPYwz0g7UcBUdMMlwGuN42
c91qsO0a6xBlT5qASxqwJt60PdswfUS9Z736pWU15gjhPVsnPXyOYeHR4gya48/rDnwF/Hb5Y7hc
pZHlsgnTOSZloILunkCV4yXmxzCo3tSGv4vqqwr1UxQgHWPMiYVgqdWn1vI0uPibESmz6DAX8Pvk
kNDWayvsaGgUt841TLyRnQYGGiMDIA7tXIxjvwoOYM5c+ACGj4FqhT3Da76h/6QqAW0+AphRf6YR
ENlNtFFp89Fmr4WMyfy6K4CcLkIvKyPHLgdBkF5JrDDCOoMMMB6P4WtOfewvV4fMrCCeVbc6xuNx
VQ4dPVB0rAWazm3ob5ouRM0/ZZHPF1I7maytsReorLzY9uWk8lHfdGrZHbsXI94O0aFVBLnwSjY3
ryrH6xLYRg1J96XQFOPGAdp5SK8QB/Wpf8FI5G6aZCw0pKZb1umDNP64ruhKRoeBb3B/gAcWL1uN
y1WjUJKmrIXIuIndXqucUIkwnL8PMnA/bq/LWsmxQM1qobZOkNVjj96leh2NGq1URxQK1C9g0h2T
edcFrNnHUsB8vouPBjcIPKEFAS2rYuwu0/Ib2gdvWZKOeC1llUDcbG68jWCyCiSwqHugZ8d9Lk1P
EML1CZ+re6z7lyh5DQ1BhXD1yP6K4BcnRqM0llIPEYM6eMYA1izR9l+BEgZnADSYtN5QIKGtP61u
15rP/6JHDfZIdMAAXYfzwCzx5WdRJ0kf05Qgt46j3LFaxHrQDEiEvFGlPHURu5+iyCmrXoRoWLtP
wHmj3wnKQMz+cR8oVTNQIclK43YNcYL8U8595GxShBnD7GmQBfWG1fCAOAWK77nwZvDXV8qHUcKc
CtzTB/UwCpPd1q/kBlnUvvhZMWcUyFuzdkxIge/GxFgFbtTlsdK2aht1Do0peaoK8Pd+SuZxEHnC
NSkYNgBqHnz6cPuclDbCg09WYR8JvW1qdwwGp1KRQvxzAJ4KhPNfOdzd1Uub9XEqQxtsW5ALc9dM
2alAoppRWdCwXbtU4HTBSg2w0aGYx5nFINW9nkQwC6Qbp8yaTmMq8uRrtwqsVPAK83MZD8rLbzN2
soZUAaaA2e3Q6QyKUfQhDkDrgtb7dae3tt0COHTcLZShQR1ucyeH50Yl6bmNrMQf3vDwAcz3yLaV
r7nTscQuNeMx2Ji++Yz+uzMWTn2ggiLEqrKLH8CdZ2/XaZaZ8w/IQDk9HCj9lYoYt9fq7AstMTly
eaI2+EmGdIIQaYe0v/LPuc8+scBtm22MffEVPDV3/StWiAuAGWvNZ8gFbQbmllCj4uu+uqm1NZXQ
42pq52PaYcdK/BERN9w/VrKj7PLUFUJPZuPg48pSJPdBVSyW6dMAqsputye7sPWMuw4DrD5xpXdj
pz0kB+VGupN3og7uarY9Uz6gtmdjaoVvSCl6OUYqCzDauR1OyjNKSIkXb4MdcAVbMIhXWP1Vb/vj
y3ULXr2PC6nzvy/C9kiytrKTeev7cJfKuhMogqmV2QC/H+hftWYDXgiYrA5v4xAC6hNY97pj8pu+
xBsbU1s/r2uyGgKWBzh704UkSo0mjTUcYI6NqTfsjZ5iXwKwcqNv7QPbpq/X5a3fvL+KcW4mjMK4
Y2ChwP692jOI7mig4sn6p+tSVihkVNyBv2I4g8T7uDRJBzHMy290R3Yr/w1jTfI+eJQ3P5pdLFBr
ZTjsUiDnUTRjiLsOe7Bd9QuA3vw8ya7SO+1b84TdWKpIvbVcHwVGvCu0P1touTemphckMSuYBxD8
7K3ZKu+As5ytW/2gi+xjLZqC1g+nOSf4eMRc2keTNJU9gfHDRWXtQX3sPCAd2Sl5s/bRA+bQ2qO1
YT+SrWh/9erFXsrl7BLze2oaoiXqkq/Uj16oFw9ghnSGB+CzdVe50T4SyZGxUla0ImTVdkzwh2tg
ygLknY+ERhxXUYG1D26byNWuoSmK1TobR0+KEmkfFT3Unyo0gkpVz+FXLS15nCq5eS56TJMFORl2
hTrRc1mXcuFfN2xtxS8sfxtn12yyagreBPgF2rkKiOcKqd9cF7Fqyij2YusUXnYzovHyi1dygs2K
lom8ZtJQA1QfSfXeK9EuzTu3pEAX5L/KUr7v9EhQrVhX7v8F88uiYe5WE484+CAhm96MNpRkW4Fy
q+b8Vzl+M0tkoPI3j9C7/aE8YdIW5ReESfkZyxrDXyfpPP3IfsuOKmqOrvnzxZnac5194WXZVESk
NHTsZ6byCyuVXRg028kEBs7UsBq0Cl2rMu6aUnu/ru+au13K5RxFptZA/sg40hzr2LPPSjqY5fN1
EasnqmEUjmC9CAER4KVqtBoHywxwojkQBahf6rcG8OTy23Upq7axkMIZfhtLGpa+z98t/mmV+1YE
iV/NmuaxOjxOMEv4bW6fJlhtHIfImlTsNAYJbOWYN/Jd5Rlf1cbet7tB1Jla1QhPTOT188zZn8rZ
wiQmgyINLxAxOuVF6k+pLLjHq58elJgYLpunevluaI1ZArAnQaG2LgA+HkDSdN9N/5yQG485IHMx
B4k3HUppl1+/7yN4QpCzuGPzUPR+Nd7VqeDVuKoIQBp4l6ByIfMGFhKLdaxHsKvGP2/xmwCzQUnf
/Bs7XojhLMyacvzdOYJXCRg6UycPdprxIueCp8fqdVmI4Q7MzmSU5ud4Oo67vDyl5r6VvFT0CJh/
LJ8/zsCW/5yZxr09ejum4IKAFMV0p+Qk1x+Z6dnYQDr4RLQ4ej1g4tkI1i2QzKr8AK6U6Z3WVxFz
2x9W61edPxws6qjb7BB7oBRPHKvzwG6gCnzb+pVdyJ2PenGDCK1BI1PPcg/91ryVHvCeOxety87M
Zy57b3fXfdDqp5t3MmKaCnPcPNGxJrfGoILozU3IKZ50F8SS+6T+mUqloJO8mpTPNBj/kcR/Ph3t
HQtxGJ9vdNtyYxlHvXwl42tE9yktUGzYs+Q+L50mFCFd1vOuhWiuuqbWpDflFkraWNPp2K/RI3kA
/Ubo0N0AagA3ldzoLB+xksl0rh/vqs0uJHMxEisdcC1oysCMB3jhQ85OagtqvJs8OQ2VaNpqDc+M
lbLwXTKghcAAzF5nYTxyEmHPSAU9G9NrziDmRZPsMPnjnbktd2g5ntXSyW+Vh+s6rvZDTNATotcD
JCiINC/FqgWtUn2CzTKve4Xvd4LHcP8ene3ddCcQtXqef0XxRpT0lh0GEzQs31rf2FY3+mf6qziP
t0PtjBtto9+lG/kjfI8cYT1gTiu+uZ+FaN6Ixl4t2lnLziOO7eTb7Gje0N37c+CCHlxkOOs2uxDH
WQ7pQIBa/znUje2Q3V3nxufOMV31IXNC1zxl5/xTBGSe05prKvKZ1UywRTFhianb21o6pvJd3TuS
ATyQf/07roa/uZKJQVQQnPB7XfA+TvIE2xPc2Ma4tkac3v7sov11IavJyEII50pTo2atncDhSHrg
kOEBXcrrAtaOa0b9YOGXPI/OcRYBCso8t0Jc7gndGjZG7hRm52Kw3RDsuNSsBV2INVe9FMdZRMhU
jOqVENcmgZNp4aatz1K5yUXj0atFvqUgzgyUekjCWMHBDRt1nxROtdOdwRuOYN+ujwDX6R/tUdr1
Dr0fRPdbdKTzN114sBKr31FRh2htq38BI1A4k5f6tq/d1qVr32ubbBvuJz/wqeg1I5LM+06rZmqb
43Rt60ceHTLzacwAfti1ogX0a7a/PF3OLO2213vGIEgHPLGiThFtFSzJuW6aq6HAJhZm52Z8x/cp
8CZvLTbnsBX1Q6kAEOYYZq+1tsfalzY5yhHWQmEzBNgKTonyBNbOIBKU+9YOdPkLZle++JQyiMbN
fq5isvw2Gx+BIHCAZUHT1bET0W7ptTMFngfuZG78WHzF1JTTfLIGpIbxeKtIP6t8o4rapiIRnGVK
ddMp0ixiLMg9TVAAM4INCF1dwYebnQbvg5eqcHaYdljwi/XECKbYcJr9aCW/Vvyw+K3qZyCQvWh0
c/t26ARp4EpchZmAtBGckUgh+MGkaegz5N2QSurKIeSzA5dQnjsaeRwCQMbbzXUtV1zZhTjOlXVF
nGXAjuFhGtZ3FaWexpJNh2FZPO4EB7oSBS5Ecc5swmvR6o35pdXlfs3SQ9gY/v+mDWcadSeZ6sgg
ostvJ/I6kkdreqT/4skIRQxDxU5tTDTzQyNVDy6oYk4Ihv4RIBw93lMRLc5amWwpgx8TIRILKCsR
l0cr8zAp7dlh7mC29J2Bxl8JK39e4jrFw66Kx/vrh7j24rqQzUXTUVEGW+8hW9bektLv00NW7or4
Zar8JnoO9R1TH8dq35eeJt+rhsBhrnirC+mcRYJeXtMq7BsFEbTmRvLP2o6cNML2h0J+KcpOYDEi
abxRYhF6ls6vrta+I+ovrUtci4KKNj8C0Sk41/mXcw4FNU+kbhqG/DWUNS79sApS6s4KoJk+Il2u
pJOM1m7PwrsqidDmDd4LCsApIw/odt1aWjzT5l3/CbPLuvYLuEhQ5JZkkxTaJgOQSZbVEwDcauKa
pBJxAq0e7EJZ7iliqGAHlymUbWP9GEnhptT0g2p3TqpkoAn6+W8UA/gEERZrYfhylBxOUUYJFNOr
vTZgBTFAi9vrItYV+iuC8y1Z3FWBNEAEAS50MJ0S+50mekq7bZK+XBe1fgNBb/9fdebvuIjYRIlA
KkCQfI0HNM6CM9k0Z+snOjF3IEXXD9ouuxdFVWXVPc9YbAO7qAEw5G69TYaUdDFksqfWTzwsC9kB
BiuFTuyizeur29wb/HxTOtHBuME/nGC7R/WuEYFUVogOEP0WP4RzAFUKs+wz/BD9NnNf0iMYX3LD
VZhnnTBE5Y67H6lXVo70RJ/VfSRI7VfD70I45w9kIH7jWsdXHrNd3buyemSBqyl+TB9KoxK4urXc
8EJVzqaKoU7tvpjPfFN6IDjYvoFAv9slnv1AHpgPjrlxGwjC8LpxWWDtUYDtn1dhXBoXTrfqFTlD
+DIMp8G4UWHMeOjJwd7kc6Zj4Qmm8hQj9I04dDOigPs79Vr9C5N1gnfh6pVa/BLuS0cRGZqpm99R
mCHrz5oNklINk9K114sWCa1b1UIW92Fjq0xLMkJr7UBPZ3Rlurvkju2MJzykUsdwVDfetD8l7z7B
7O716yxSk/vKstJjP0AE0ZIJ1IKBORSWejUo3ZPuV9RrIqNaad+COPDv9+WcR5nQ2NJLiBul1yHS
nbba1+YuD8BxpT3Zxh1oNZy4Eui4mkdaWAsFhj20G/ihR2lSjLaoITQAzfKIcr1llPdglyCFiA17
/vnfYthC0vxLFr5R1ytwTmmQFKLxFIPCAhtGZFPgBtaFgGkFK7YsTKZw0Su2Gpbqcs7cniEVxoLn
pLE2kdx41y3juxiQgmCGEuArjEWpfwZkFroEZZCEQQYAr4kNVABoTpZfY6WXE3W6oDGwUhqEKIwZ
zIsQUdU2OPvPSS/FplqjkcaMcxz+tLP2oMjtVo5SP0l/m3riSti+bCrtvpBFG0G/x5Y/5CdgLwL9
Iua65xuy0NMiCSglKwgvx2QTJ/pD2k3/uI9zKYJLbZRkSORiAnC3NdKNCei3nGVeEZUCO19JzC/l
cJahUnylPwDhJDup0XMPpOZg3DeKl1YHI0rcTH6TQhHV2vfbNQude20GeEawHuny/GhlA8/WMCAp
W+DX8mBDk3ZrFoojWaJigUgU55Nb3RjHUIOoyDL8YRgRFWYcu30LFLqgxvQ91s5aYXDOMuCwvq1T
xyCW3YU6PpmUuXnywuiGdo0TmM91/qlborxiXbG/0ji/UYdpoyGrQP+fnA2rxoKSvR3FTqoLXMd3
b3+pFWfrqCjIZjZCqzHMgYrvnbj8bcvNYYheO0m04E2kFGf1RVRUSlZAKYn5MTZ5pOYnC/rbRmT2
s1VfOt1LpTirV2jM5j05eFiPse1VYZACP8zumdm/hUp/04498OWjNh0zIwHk4LqXXBUOxl90HOfs
lMeVdyg3ySSHcB2beiSsYBy+pGZv57FTNI9Z+TsUFQZX8jKo+1ci7ywnnaBf1PYAqfwAGfZB8TWw
hz6U/rihDxUyYHjorXwUPZlWOg2XYrlEIURPRbfKWewL8MuRJ+0CkBb1L9qvfEt3I1ikW7f+jfCt
C27iahyCa5kpCwj6Rpx/AZg6LtBonwcxzzZh2PXrjWYtCHYrfUeot5DCuRZgwWOVNJCS1FsdVNEh
KmimCzS/J4P1Pyz8cNxWie3Ai9rd03UbWr0oC9lc+KO52cWYHAAykGnHMYMQuTphWdi2jo3ddVGr
DmAhivuKOQDaSRlCFJX6rZRPW2UEQDe33MLIHNj483Vxom83//sitg5lULYZhThiv5fkvsBuUuHg
gOj0ON+pZ/ZYR+N8ejV2bpX3OduF5sGaBBd9VRUsVQEdNCYhvxVIQJ7LIrBNwXXSYyZ5dfkVicao
1+P3PP2gzMndN96KCoXi3FKQiujslVjo7fclnhvT+yQ1Z91W/G4q3yhBHV60IWE12i0Ec646BtSP
FnO0i9VNY1duMcGRMBA+IDE3UGZLDF3ADLVqiAuJnNPGoCDwbtYcX+USfSPF3CTW+xB096SS3FyT
BbiC2a6/xYi/4r7N5lA5iro5wCZMcss2xK6fSbS2SiSDc1S0xmR2jpEwV8NXQzobOPIoiyAnq9a+
UITzU3gk6lo7j521benFnay7gWL5k0mQM2CtxfXru4IzgVcESMC0Zhpk4CIv72/VVGRURhwbJiGK
aRsXd0nwHjQnLXxiqoZdw6+Kvm+TuzLaN9G7QPh8Xt+/2V/h3MUGq1JB4xbCtQzzqkdNOYfGq57s
sO8kyx6j6kR04GsE0WY1ns/zERq6HEiHOI2nqsSmxhhCsZ4HL1Syxdy+1yuKX+pg1scWndJMXDkX
4gZWlV3I5ZQd/o+9L9uNG9my/ZVCvVNNBocgG30auCRzUKZGa7L1EpAlORhkcB6CjK+/i7KrnErn
UR6f+3IbaKCAgpGp3AzGtIe112oTf/RmZ0mLMz0JRP3gfWb+tBjLe9rmkTXdF0kflf69C+qNf+dN
7xjfcwv7VtpUzy58B6UzwzkviwvqPk8pGgropqermsW8WTN6/bHdg2t5x+zeqWNwzYNkgFmDLNrU
v67RV++yemnR+48NHTy7dwztHTbo+VENOKYRN9DkdEIE5BvF0smCI1fEkfG8He87t13auelYubOZ
MWBhrcaHxNZo9UWtrD8GwjgcM/8c09vnO8aSzOFVVsNYSr5Z1WIE4QI/ZWhwr40A5AxLs1+ObThg
j3z8Lg87gnOTjTlDiCD2+/5MKHNglSiHx9sB9sEHFmUjj53UWPl2DjG1ck0k2vCH5tQx04WDF21o
eiNBAi+D+8l+rfL+9MgTHd47P59o70ysmhwM3M2AAABpHRCyDpeDjIo62bhQ8KL2ymghkNwtAn7E
mXordP1yQu28ij3HDeLOjlv4eBW6/tJwe9V5gOmP3qU3OVGZ00WFDLWVXnf5tBn8ERRU5qmb5CB0
vAEzB2j/2W3tfVX+l7kr3OwJlkmyGWiWhgCdr7rSem1ls+AcxBGlBY3ftkhDiEhFqqafPn6FB2/j
nYHsuYXoj8zAD4iByAHdS6c8fa6JFTpmzMfpyGwdPmB/TtbeAdswyEuxOWCqybYjNy0bV2Z1bXWX
DmIKg4aE3n48tsOb/6fBvZOVN6b0HIXVUTksxKZftyYYNMZx8bGZf7Ihf9rZP0QLBxJPqIjPSAaf
Lmo/4iV07s1INadZFuV9Hw86RPlgdcTwvMrer0IoDYMOZoa80pll8f2GrAJIQBETDnAlzlqGFjBn
42HFI3zp068ZcjFjGg3F2ZjHDdp5mTpyuB4ISGF/7pMB89kBnlnDA32wPUeGvEYKuUVSZpmZWwe8
Wqz2oVM/RbS8Qi9+A6lu3aKoZ8cyuTSnYvnxi/h1Eb9/jr3rBHLCoDiq8RxJp6slMgIqTMfEjJ2i
uWTg2QkLQqcjNn9dXLAJ6S0kmEDrjcrU+3evNEGrzswn3AcX0lnz+jY7xtw5P/Yv0zuDQ130+c3K
ju9NDLq1fFDlIDeEUsg08BWw84veBymPlZA4YGdtAnT4x6/y0LDAcI3Gf9BPgz94b0kZwH+YysGw
xunCA19HPi1BNfSxjV/dZdwgOzb29uXoBZzwue0WkDjfwLJJ5f/jKPbenJhqycZ5cvIkGpBYni5q
+fnjQcwPuT85u4PYW3M9MgOBYcAELSCz2IeSLTx+1rVHUFLHzOw5MGrG48zbLBrrc3t8KdUDy699
+0ge/vCMBKCYgMYbLvc9K/nkKT5JzEhPVNjxZdYdmfLDw/jbwL5qAROTD2lsGKimm6ZZ5fQ+YTdk
OCYY9esVg5VFPDRZoy8HvG57m5JTAUGB+W2xgdtlCI05HLy6Yu6Ll/bFA3eN7EU7VXerWYoaVCsz
diSKOFCwxiOA4t9ErsChv/SU69Qj/qSBlGrASF+v2Cl/dHnYulF+upD3blRE3sVWv9g3NFaf/RCZ
bPS7ggzu49V5oJw6P4bjQ7lhvh/2SeTtGiRwECNEYVHGZDPG4tH70i8h2h7mZ1kZFovg1vj97p73
Nsn788o3BiepA4ArcB15wy05Jgtx8GzaGdPe7DadkYIrC7+f2GdNtfaCuyCNP35vx0zMG2XHt85F
oAzHhwnPvzDcU+5noXNMhPngXoCaItR37Dnhs7fZBl+Apy2Fjbxu0BL8hPByLEFP5S8/HsshOyBx
QZsSpL3mTfF+LGbWj1jlcx17gIC8r7PhRjI/UVHv9+TrmCVleWTVHbqHkaqFahIUI8H7vPf2kE7I
7K4B0C2QoPzuv3EPTUslVj0dQtcZHz4e36FDyyHfOe5dD+0F78eHIk6t7Fk6wBnLVe57iHqOVXUP
DojgCga3IRbeflsoBburnXu4gS0yxoW3AC9g2ECiwH52upuPR/M27fsXiodGPJD0gg3l1+lqq1TK
tpubjoN195mc2/EIKeLP6iID+DYkzxAEX+oLL7wrzr3L6Wq6/AKij3WwpiE4oUEr8fHzHHq7u4+z
t5lrBdnPpMLjzJM4MjTgTPcfWzhAiQHmzZ0R7+1nUeY2YR1M2Ev3gp2XK/Oqi+maXuSb/osRD5vq
3AvlCux+6/wMYr9s/fEDHNogu/b3lmtH2ho1HNif2fKkPPPFBSuNuESg9fuGQMSJxYptAULOvZVa
pI4yy7mDmfAkAvAhN8MW8I7cOf3YzsHTy4UBJ5hBAnRvx4+0zqdWU2SRk0d/ALshk+HkXX9s5NCe
QLH8byN7C8NLqFF3sxEHh4q40upGDveIRMIemOCPTR1ag7um9hZIyZkltQNTPjvzArko+vzIzMxv
fn/T7VrYWwIMIjmVMcCCcj7nYj2KS/iKVnXXgsAj/VyqI3CAQx49DuS5zQ1uFtlXfOzGtilTF5wh
srwt7Cw0iB02yUtSPTv0URRHlsPB17djbX9wLJAKOSHU56c1GqGN6kgm/+DLg0wvDkcUR9Ba+/4A
zkBWoPiA494dHjp+ZpsXWYV8S/CFAqE7RbV6/ng5HFzeO67V/PnO5VwM5pT7s2uVDs6iRuIbR+YC
NIpH7s1jZuZjY8dMQ/MgVxXMSPcUDJ3QHYWneCzOOjQ3u5fz3i7Stc0NngNjV6iHodqYwd3H7+rQ
2bb7+3tbR2dWlQ9zj47Vrqvhm4JeeDCthvxY6ePQaYD2JlxbyAPM3HTvX9ZkWakJBm+w4IyxpZLQ
JevBPPVVi4DoyHF9aF52Te0tZyMpQLxXY14qG+lNncV28lD7Iv74xR2zMn++M/vG4HXgLYYV39zk
FvTfswcP/TH/jhGwrYHZCrzd+7rTuieB1wXzUMgLqyPqkKhLjvX4HFwC6J77y8hehNpwIKvAPYOm
l06G2haxRwAsyaww6W8/Hs5BS3TWyJhLpF6wdxCQCtnu1IKnSYGTdNhlOq6ZuUD788dmDlRJZ+4x
tO8gvvMoHM33czNmkyAC9YpooE5Uu/Q+dWjo2LoBfrENNbJMU+6uULpceq3x+WPjhzbsru291edP
nV0qhiowKXTUu82VDqwjUfih8xT8VejJcpBjp/veJk90UmC9zBgdjiOnL4bYaTmJQaoMGFzp0tOu
YVlM/OahcFR/pFB6aOEjWsSCseFTIzZ5/3IHShjVArcFTeE58DJSlX/G/O5IgHxorcxsbg6asUAc
vk+e0EsDpKUjXGqPLYhEr+pQxh0k94J6+fGEHRzPT0O++X489VSqpJp9d9tsLRVaDetu0DulTCQ5
cuyIj60dXps75vZ8L6Toy1lbCeMCaU8mzFCmoP4accmDCzVMBbSkgySm42Vf6WN+0iG3AonIWYPC
QqqQ7k2dXVjMGoEOjRjysE7wqapA+NrXZ0lGYsd66cAG+PFoD536u4HenkEa9KPTFfOp7yowyXQJ
j7grijWpyVU6oHpaH9l9B1A6c6wA0n86M9riyn0/m6kE/rBVA7p/bEAZsdOzqQDVprMRHsjlcrhr
fZeGRJiLWr4CExKbZX8M73hwjkE6j2dAlgx5lb1zTjJL184bGULWbxg6rHLPD9OmX/ZkCkewDQ/T
VZrksZW8fPy+D63lXcN7RzmK8TVSPMjmjLwA+fa6MOqwG4+4i4d2JrgQXQtimGiR+YUdoAJDoOfB
ZTDoSrOVma5876urj83kvDb2XW6gCiDPC80bD72E72cy65Xj9DPPg8WvPHSrlJMZiUyuB6s9Bep+
Ldzpxqu+ZBaURzgEJWtrQ4pjDRUHxwpQO3o6fBP41fko3r3lDUJmSt0ZSQ3lam+RljzMmwU4Cz+e
uEM7E5zYf9nZz3uOhdlCqaWAy1qkn2yRLmqretTMjAfCwaX6MoljcL1Dlwhg9pCrQq8mULl7I3N0
LgdrrAB5F3Ya43LM102JODAd2ZVtl+ejglIAKQ0WgUix/G2UKTDjaHZC9tNEWLV/EE1j3qbNVCKi
d7+m6mrIX7WKxnYJ0unff6++DQZXNPTOQMu9UQprNHhGELp7/kPVnqbpl1Y8Z9WX3nxmnz42daC8
h0E5DoG4KXhI8f/3ayVVRT/hmMMbRUq5H5YTalpqaSWXlgvBn6WP5v6KPJBjoenBFO6u3T2PY8wy
2zCHdm54XL6M0bWxbpul//jJuPebhWgXzf2RU+bQqe67FM03sx4nCnrvB+ppiWoM6eH6Sh357pkD
UjDryUzvkvHIOjm0/XYt7Z1n0lWlL2ZL8PPCgISV+aSyyGFHHKoDKCZM3c6I9pYJH6k9+rOdogNS
1loPoQyLjX3dISMf11c1i9zbj1fLkZG9XSE7BwtT6Y93KJAR6dhlUz6UkAgI8mOr8uBkIeSyXNcn
YDLe8zd0S8vBKceZCcGLIOZ3uywjxw79S+uR3+goXdVXFYLLUH/5eICHriJkJ/+2S94vkk5CoqH0
FVZl+5VDaoGf82D5sQky/8b+FbFrY2/HDaa0y8yAjWEJnSZyX29YPJ76p23MbspbS8UgVoogXBLz
JxltAZqP/p2wdvcJ9vaeTKlhGxJvVxNylWlzWeU68gDo0P7VUDenbwP+j+fxP/lrefV9aO1//xf+
/VxWUyM4IEfv//nfl9Vr8ceVfHp+bf9r/sO/v7j3vdVrefGU//qld3+DH/9hPH7qnt79Y1F0opuu
+9dm+vTa9rJ7+3085vzNf/XDP17ffuV2ql7/8edz2Rfd/GtclMWfPz46ffnHn1gkOxM///6PD+cB
/OPPM9El/VMhnn75m9entvvHn8Q7gavn4DwCBwwW+AxvUK9vn5gn8HLBjYgsObqy31yVogSQ6x9/
ut6J4wRIrs04PvA6z45kC1dv/sg+AQE3wqq34Gr+ub+G/m6Gfs7YH8gnXpWi6Fo8zLy/fq5RiuIa
6PihGz6DH/AI1t4R5jBXSl65kEGhrAriqrAc5MgLhzwZPkcnXZkP0wMEFobbZhwfpdmyyNSCZkst
tLQWk5XQNs5cCGMObZpXCw1RyQqq4IZvLMgAUqhFL+ohuCp4OrXbcbSMKW5ab7zfeeU/xrU7Dlxg
ewNxZjpVHCCgJp/Zmfy9gYD+ABBA6OLEntIJKJl4nfSoFiWO3tSqsXlIMyleBGmCLc3N+lVU4NQB
4kO1HI1ugkOyhwrbCStX1wn8morfdXkjrjzm5Haky16C7tyCL9KBHeMTOCSEi5a/wBOnozv52bK2
81nMwPclXxvUG0E/SrqpDpVpAkSVKs6hElSX8jPrlblR+QCwt9+qNAHkLFXkKuAqv3cmgebnoDUl
RDN1DZIKXnbyGWpM+QAJJDrKOJETYxES8V4SNqIbEJSBTcIONfdSd1EoH+JDYhpAxJUbtlWDDhxp
iMjJjAnUSg2vrsC5rGQUVFnRIH0/oP2u5UzVYYZJPhshVnTt+VLwkEMYZ4BiEmqJ0VC28z2Qe0jD
AfYA4tLeV+A37uvJ37huwaqV1RJNQo/K6sUXtN7UOnC3aePnUZamRXMKprnmS0rTxglFym28JKOu
m9BPLKhNBHag13XT8y8QouiuwNJv90s5EjHEue8PF76mvRWafaGSmBjagBi0pCZcz5yNAChOvAfM
m1npZS4G2w+HoNAvrGuaLswTZX+rswYJgaEEWTHonwcjknZCXjno0ZMoyRqxgNJVemElXUouy7Eg
Z7Xy0Dqao/knixWeOAeBhwnCz9TMQ2Ax9W1mc1uBz5Z3GtIr+WQvxxpdFyYqr11oKdCDhgBTETu2
a+Ge+S2gN1HCSr+M/byH4o7VOO59URL/WSg2eZFnJNCdSgFjt6KywPqMLNDE4ul4UEnI4FhjjdlL
Jr4Iima81NDs6GIDvRB1rNPBd84MAyqlq1GmQ7Otm1R/U9WI1RwwtJNGZhaU7RIr0ZShbHvtQ09G
JU+qyoE2hA8efJm8Dv0T0tEaRfUhK9mCWxV0iFTqOjekG1bIaHpFaGTgr0D0r1Qf2kx6QCWYyVQu
zYkB9S7EJE+x/qY2VE3mrgwESFkkhVGicw9a3g9wExu1aHK/vwpqqy0jY+i6B1DG+p8gs6XVrU3a
9HMqS+qFwh/Vo1MPEu1AhlGNYVU0PYlcsF4DAmuMZhtCCLT6ZtS99dwbSVdFyDvNxIyl76+49uW3
wp2685xm5a1HwH7X9mzAdghQrJDYxFuTNeprnkBGw82dVK+4X7Kw8H2wgPh+u9bJxG6nrsZkJwZW
nyqr7llWZhWcBj3qU9jfxtBuSJV6ZtyaUBVcUFpYX6c+HSxANmv/c9D3Q7dOgKZF2rqqchUGgHWI
qIVHt+jabEBdmSUlhYYsUzzqDUbtRTZY9nQ6NZVthcCvjzikLIN+wx1opadgAU1iP/FK9FOj4dla
tG7v+2jxacoJIhdOWYDVgzDQC0L1AtrlAW/ZAg297VfiZu2DW/DCDm1psg0fQGe3gpgsYvDedroy
HsA6ibQZ7qpbyL9jMwNOA8xfocH/ECUKSlIhUXT6mjFSFgs2ykUKpAy/LtF3BFk52AM9vSqsArT8
Ki0XAzqJgQsxsGhikB93D2DPq4MIrW5IryasHwtQliXUA9vKoGxwy+X5ohVjsAHPuGJh4rHsQUzK
mJbeKAcbwNR6JlfqJf+UBF06RFYvRo7KgF8U28CcQFuQuB1LwUseMAFdTMbcqLRt4FIbqJlAq8Cz
hHWFahxIxZJcgJQK+K68XHpZBaKjoh8cuuwyKwdbu9vxC9HoulsbDbL1YU8V9c/yIBOQnW6keiKk
SW59u3XyqJCZ90L6wBkX5iCH4czDgZ6/eCLRUYI97oWQWoNCB3qU0b0nGxLojWEIMC+0qZc7cUWK
acsV8fNY+eb4lPmZdS7GruojHMzOM6TCkPHGqoaqBwtwZJXCa82wD4A+DYTXbVUtp7tksqXEIm+L
67It/UuKrNk1YWP7rfFL8lUNxdgsEYu5dojdiyQ3a1sqwzbICPq1DBvbv2Od10DaIwANeqoSfpnm
FFcF9KIL1MOwusB2zLh15ldd+zQJnVGUMoMWrFv2JOyoqaoOJEod7e4E1DyDEPwDLhb7QN0JimgG
eNVLJfp66U9D91gnZtqHU5MCM0KSTIwLptzsOQE+FRiFwe8BBC9blsZ+LaG2ziZ8W+bd4G+6frI5
elRs68qz8xEONDc8QIwVwFlA4ne9HcKjgb4exxKLqVKIPWUvWh0OaFnKzkhTBlcIhLvbMTeTLi5A
IHY1NbWVhuDHkQS5mqL5oXbwW77xuXhu8O6/dR96xrMHfdM1r6/d+VO1/83/D91jOFr/8ZcH+otz
/H+Kl7Jp3rnG+P53x9g6Qas8lF6Cuc7volwA3/S7Y2ydYEmbSPrAa0Z1GVm2P//44Rg75GTOWFrm
3w71344xPnKQ859/CImqN0f7r+f6FzzjN17vHc8YDjky+wRacB78c/Aw78VOJIDopdMAy85AjvRV
DCm9AkIHXMwedOG02edh28jylOG2uBuo7Nasr407VldntW1ykJoZiwD7YcR30nwaLqmj5nt3FPdj
48AXc9H2ynXtLyGPUcycQc85uH7BrQjGXWO6ZpUcVtTO5WLsA3AukjI7xYXbI2AFXeDAneaxscRj
PfpfKqVTiNDZ22lkd6aX2EtoHCYrVjdby8+hOTsWd5Vn9Rdapa+opmNj6TwsuRObUuUP9QRR9rae
6IaQslvZcFsXVm7RBVQy/LCzxu7ZMcxPeJT8fACFnipVswgUmjMKZxRhU03kEvetWOYWejGLVuso
C0SNHg5viJlRenGmum3XWMYSjlqx0L6nl51q+KIq7ZfS0SwWysfmc/NV7yPSSCENaPPqhWXGgzMw
gjct3G/GaG38UUCXNGucdUbVOiiJXBsZ2v2qvNIbPfjFd6DDb+3a2zLHf/sb8V1o+69t7P9BIe+8
Gf75pl4h6i7a12k34J3/4vu2NsiJBapTC4QY0NRFDn6ujX3f1/hoJnaDn4mL1Zll4PBXf23s4ATs
FaBwdP6qG/7c2MGJg3wsZHgQrQJo9VsR714edFYtArv2LM4MfQjkRvYDRWz6btSUjyilJcHWM1h2
Dx8yvaClkWx7O7djhHYUzUhVd45iTbtpXBBrla6gR/JDewSk358E7jcqzmh8QIyGl7Gbve9YXqQ+
KcYwDbJSxIN4ZOgVP7Mnc/g2yQrbHEnZR39yk0uo3aLrq4cy3KoBCfmXrjVcFB2nzr12dOusu2FA
x34NB+eTUU36CHr7fZLu7UFRrYaWMHQYcfa+xd472cDBa22mbLyyegBPqJEa9qqpN5TxSOUJ9GMh
2XIEYbTXk/Hd5JySgI4HCvJkHxVpoKUbO99RYSmiPtfJmpplcmNYJvhoPEQc3JtsaNT2n0Xm8bgk
HG5tN0Kc1UfroeOjb6pXmVipzP3Raf9bZ8K/tuH/p93kc2bqn+968D0gyfXHU/Hyx/q10a+8HETx
7maf//7H1R6ceECPQ3URKHwXmEGsqB9Xu3uC0ufcbwLUuof7Gn/z1wngnhDU7YgJODFwWIBI/DwB
yMnMBYk8GADHDpk37W9c7bYz76zdu90C/RsyRRC9BLqXwKF4v/PGHsLe+eCkkQM1ZUTwo8MMcG5I
/9wytUTYXFTtl27s0bmmXU7Rptvo3gPSmQPL2o2dSpcpNC41gA29euKdsu7ahA5pzCZdIOjIGwh7
I6ClHKrMrsUXo9+NBVBFsvZPK0+qPibDGIBtuM0B7R891jYXrjkWLA7ayfxmWlJJ/KnHxkU/SIQK
XmbIe8NtCxaig4rrqHBTigZmJ7A3lHSmuxBwpe4DwxEPDU+ysyboAyu0pO/eQOnBw/DcrEFWQo85
9DarXi2YS4F0KjlB2l0AZBXXkLXY+BMyO+ddAIjaKidts4UCr22Egy+9Bad9sxWODG7MHLARMTEZ
I6jCz9oFsjSqZ+mFQBxSo3ELTABA64A6OvR6Xa+6zESPbMGyz4zzZivz0jBwXk1thqqpAnO1iaZh
aDTXVlGFhp3Wnxpkzr9BTTlnW7BAj2VcZ0ZgxmAmCUQMbWW46PXQBvZaQyaFnWVNJgCxdU2GUNSU
AbqNGhBb0ioQjwoS6UOoIM99aSeZC4mQTkEyOkHEe26krfdoICcBySdaDM8oc9Bnw6k0VKuLrN52
boCsG2sEhfBL6gfoxpjPvEGy5A7ZdbcJFS1GGg9mll3kft5dtKTFKUWgAyYjmjCssgQcxUOYIrI+
Q6zJHknTsykUhSD3pDHM0yytwCEAArVmnXvUbXCialR7dFb0XmjljrgbZCrRhev71V1Kc/61SDwF
qCorqQ/2i1w/5H5jofbLq9xY0Ml5M22adSizAi3RFurkV3oQuRWXFfKnAIFLCL7AiSRs63k9AbKq
LBu68JlnbdMJLEVh1QikOCvoxluh8JLuZtAOHq2miKftKUhPJUqk6Wk11f1Xmebqgno6+ypGs7sA
910pw3xArKiVJCQE8RG76YKGe+FQtK0FVF0KFaSmlsKOLSHyz2pwp2Jh5MaUoZBdrDgr9dVEMYmx
nSn6CACR7UUayFMdOUU+WZH2W1wIyObMOt4TEmnpYDz4OAXscDIG4wmPNF0XgAMNa3dqfAmG98E1
wJipsi2EvSvrHPlNNLXaBjPByCgbHsQj96x7t6ZeF2YoWd4ShcRrZACa5UeugSzopgEVGyTJkFPN
Y5nRtL6AJ4ze5QldLC+mTMssCgJDX2VZUDyIUZJnNIs2r4Wya2uRVjle25Rdt4VSn3PXUp+lSbJP
tkpsoBpbsxijdkwqtSqHzIfin8X8Twz5oADETVbrhJY7gql2tCYP1M/SbwIU5M1uwGKT6joQ8DLC
qUO6mnYQeLf76sFoO/2cIDNDw94UTYbnNCsaoq2G3wajW4uwMx1n07WVJIi0C+dFVZnzxeoGbcet
aKTGbyvqRs0Af13UZWlHyAwkclHyLLhuW5tMMauUXUUNOHUBHUGtsl4FVl+EEtp0n0wcYZgVBpwA
JOTTfmHUGaOhnKYOpd+xq6cz7FYX+5pW46s2lLzWyIiCiNM0Og+6XYV3Rst+xDYjNVJVqc7UM24J
o4jdsq6myDVJtTUCXTYQabeoiIiXymRh+Nb40JYEpcPAFWYadlNf6rBSoyjP0jKZ3CgY7dGFDGBq
0CjVZpdf5LwpnqFMl+I1IklyzYKkEFHjlu4nQmvztR0z24yQJLXS2PNt3AW60wTZoUBrNxYtkCcb
6mfJGFGQz0FtQ5SJHRamtkjog95iQto9cHGicw9VcDqCA1O4zQQ5cc7JPTxqSVcQkfecdWFz/8aQ
WQMFBq+S7tKAV32BhZUHkMPu0uq6FsyDrnyLSQIEhVvfpmIA+WvNcxeaZpWWctNM2jDuvMDA1xNc
V0E0Y96tBSXI8m954PIqVpUVGIseV/ZjoKjdInkt0AaYUdrRpdEb5MIEuuVTWbaGBarkpKcR8Brj
174o5IPXO2W/LktGt8yxZBcWou2fu0SoywGzV2/dggLpA36zBLn7YdEY2E7Il6PlNGZ9kjzu+CMH
ikDzrf3+VgceHa1iwFEAPAZc+vtb3SmUi3NclBGyg+1VbvDkFLc2jZEo5QuSFm4sURnYTulAwzfL
/+sT/vlWrvznTuHmqfjj/Gl6fV8w/ekIGvQEkQ0oHuHxASQ5qyP/5QkawYlJAYxAlRMQGFTKZvTL
D1eQWieWZ+IPsSj3XEFqnqDnzINLafn0tyLBNxjPz/XiAt0DjUCod0HL9q3Raw8oIkBA0dbIS8a5
pwsvasuJnyJ37yxbj2brRDJcrnwQ5bxwm/6i5m4vtqY24xz5l5Qj92Cg5BFyBhq+sKtdFBmTTuUo
SDkJyHMQGIsHXDkeUqiCqkdpJYghwUqEkhX4FJFJHi0TaLuU8B4QFReqqziizLAilX3lmWL8Zm1r
HU6jBaVbuyrDoG+pWGnUcmukXqriKcXxQyMTx+pN505xRydDRJlozTvluCDIG0SQb5VhalyiCfLo
ra5xWhlFpuxF3rTJRnlu+kyUPgXxKDhaUjLyTTU6Ixwpr+rvZy7jPE54Xa9aMGcu4btD1q8Iutug
ELkEZkjH9Vgna4eBF7IwrFKgYEjZUieG9UQaK5hCCDSAs7RuydNYpd0j/ETQnStov6NmnK//dxt2
04xBmM+yf74Lw1f51PTtbj5m/oPvsZhNTuaKOEhQ4QsBa+Yjkfk9FiP2iQVCMPJGl05tx8be/LEB
gT9AY4/lzrGai8DfBUDoL/yBdULQh+lT3HAWwieADn8jFkOBfj6Wf25DiuZ85FdhBYEfssDo8n1/
bA+jzTPBiBtbjGTOAk5HsES9k65kr+F0t5Ufao+uXL+3QABh+Keu5JeDqoWNKpKWWziRdFU4xWNt
arjLAapVunSBVZyM00DDEyYVaWKkg4Kwb83rgveoEsJRvKEGkpxSORqRQLOpM1SX/NTow9aEJzwi
MJiLpUbsTryFKlqz8nI93jH0B4cJtqnNvDbGt7woUMKLUXga0TCa6uXUiaoP/a7SoLCw+jChbn49
aq7WQ159qZz2GoEEIAZ9i1uQt5eF1OBEUk7csMQ8s4iu4xpucGgqP1mYtFv6dVWtPBvtCXBL2m0+
IMCqgoAvS8xQyGuutrmYXlRS+IuSFrcc3J9RLtU5MYsWQGajXjmcU2hyNuVmrgCe2kmPJHFrZ6jm
5+UWa4THjVmbiHClsc5YK9akFEYE1rF+O2a9LeERJMnSd4p+hf4BAuyBrY0oSIgXDU2d3ls+qmSm
Rmlc1qW3FUbFICzQlzGUQcfTAfjNyB/0mQOWyW9d76+7QOhPBR82jtfVoKy32rDxrbO0hjjbWJIz
27OmTZqzDD0yTZ0suKLdAk7xa10RIBwKCkmSvkRZGC7aeFdnzgtqc822A/nVMmgab4N2ebSJ6+DJ
NfRl0fIhsp2MLIcC/eKGzurLpGjMhTG6ZQilGh0iq28vOqu5Gu0hOzdo+Yj05RpnocAysGVwCvBG
FydtSqOR0WAtdH9qS9aHzAApCaQ+VFxlmQvAhgThdye2orEeg6Q2QKIj4tKBB2vp2T9XeayNxLid
0J9zhYCyecQtoCPBa7lOVM22vHYB4EV8qcLJH1Zm5z2llhM7vQgnyzjj0oodWcdZBrDviHl0q/YM
PnlUW95ZUrobXuQPHmRvsNgwF+DidvQ6baw79BWjNuomCBgTA0dyg3DRWQ/AIV3mhZiAOLD0mtl5
vTBdWVwWo0AlrewbF9si8P4vR+ex3LaSheEnQhVy2IIAo0hlS/IGJdm+aDRCN3J4+vk427lVI5oE
us/5Y8Tr6fa/hoUGlTgKlHmuirm9FBTcv08sq9XWgpmO66EcXGJSdHbpAEGSYLN27dbKWI72Yepm
vkGC78PWDannLcLHHiHFH2kMaAscW8KMj33qmhTnueYs8fi0K55gklEeLHNxzr3XcnNEXRukygJc
qbFr1cPMElBiRHUbaZ3dnneid6biKjPHf66GHiVHJPy/c7neonpIR9kfVOGopKkYaXVoT4npSTOx
0TOkMCz1u6ssFdcq7z4HncunWsMsk/e+nudSF2QyiG6HY3s5lNsYyBiO3wQlGpYnHu6HAOXp68Y4
H/vKUH0aIWiwoVp3vRyOgxzPFUWMiaXW7OC2hsp2bThV8TRW3nnMLEVx7ww/P88HkS8iru5dNffc
v7MTfAd+G1ymqTWPQVGy56zdcu26EWZ5RS22D5gIktHqSlxEm/Fc2P0YDxOsaShsVAHzghCg8N99
sX5tPcHKUGiHiGKMUz4FaUkKVExH5IuvMIvJLCDDMPKaZPHqYL/iZzg0cskfit6QaRlm0ZnqUAAe
P7e8m9KZ8WILjgshvexJaXELbA4Hz1S7sPCNmxTRf3piFNB5sZuK8rfX+c51m+DSOD+uZjB7bEPi
/ncn78EIkXzvjJonF0CMlvFpHB+n2mdt8xrUFAselKmtb3KYjCSK+vYmQq96t5Ay7QyLYWOBkosX
Q8/njqUybTtHHxynB4tAaXcwuW90vJVumU71MLIXuwFzW+WmrnQitJpr0JO0oxQWlG6q9lXWf/eg
WPZcp6WwHnFVfq3reBIbwhDuibwLzos2U8kEaUVT6o4BV9i6k5FPViMhrIsICW/p49Hvf3wguzWj
zjMqHrK842/bt2oJn/KoQEYFgD+NvJXqmeWxTQbb6GLPknmirRx0avKAuMevujAeh+ljdsUr0aG7
Sq7P7tgNf9QKioP0mUp7/oE0jD3ltNlY87IjwwwXFBFO6whGIfVJ0nwkw+tqb0PsETaExKYtxHMg
HPMxYsV/YH3EFFOpVe0cdMcJiviZfVlVJzQh0ZvOw7+qJo8J3PE908t88Npo4sMia4sb2jUOq9dO
l8mamG6nGRDUFP/xhIXHiOJNO/FaXdwMw6xTG6VInA0ukYi8QdB9UmeJLLvs0aomN857Pnm/eAiw
WuuyNsPVFnAkMUG3+bEayuJqt2tVglHAHZKhijNpbsMXJED5N5oA65ePPpsDTwbDwe1q7ExZHRTX
xbHKc9Rk7XUjAuJzkM5xGVbnRwQrDiBUGT8dSgCsa4InJ5qZGZzFCNJ+sL2j4Y+czqU5RyfdGTiS
m6p9m5smuq2BqR/7Xt51KCXJWZEPjlXquuWZu/9vwLb/VDfXcRH5p26M6jwekPI8ldL7tI1+xYZD
LgPnwVmQNP+lxt5NVL4Ux1UIXs6qG5+7Tm9pbxZJORjbn21bUHCQt1rvFjHWD8LqwTo5+vfKCV9V
Ri4RxrefjJqtGMUYVVdVucb2tFkkguh2H6ioSw3fr3+mSURXHqzfCvw05ifKARsjzzy1NFhB8Xrh
i6jH4FaR50dd8OYfJ5OUgVB81Zk9nBa9fTVefURpTNxbxzbTdQAs81qab7NczNNQRtVxXBtCyL1F
fdS18nYVlzM/umivxowoCrhoy9jX5/CBzKsoNTRXmg46Y48GaACmEvDFzbA9EErWHdB44iDy9aOM
mjoeSlLKOCZmH9sYwccS4FJ6ujsOtQKliDy4ZYAUp0HUuH4XU6a+mqjo9q4OlzOiF10lYQ/w2Iso
T6TT58cx8qoU889zOVBm3vV1eRi9XqSMXdvJrpriMFroNWsLYZk3cHtNcx2mxdRlSd/q+oBGKCnM
MyNed+1zcKuWwTJhK7saAyT5NgAem05C/MFrq2rEMISaoK8vTBRIw/RU9VAGCKCecisrTvyId60p
+XLIlcxUmOvbtpXexwh8Va/FitZAyT9hm/uElY3NuW/E9KT6kBg/ZfBreiHpbcXwI9Hg3bbeMmb0
o1aVejpsdpXIn4ZuKj8Cw/XenVpZj76GSwxR5DE5mwMq01y9VXyLDwReDUnhASsrUv6ScUK+w8Fo
lzsoUsZLYSTDlC1/yyw0L21o7J3NZTMWFUFmWf0nd5Z4sBHmeJHeB+V86yLyv5Ys9v15ZxMVrUIe
Uk/rl2DZTm65fqo8P/mjI5gG3LT3w13RuGdbhp/FsnzMnoYMNW/Akwx3C7liJEzxZjYiDlf3Lv+J
DqtQE+0c4hcBwOm6tQCU7fg8jxtzW92fvSI6W6uZhPRgJ/NUTIdtG19C7ZPXWu372Ujb5o85UjMr
zEvZAEvyYbrftRH+HlV2EpC0MCPqfQrr/8LV3mcSVS4xpxyC4c3RciYvzrg203JwwuGM9DAVKk83
4o8lmzoMmr/TmxUDj76QQVD/m+bKT9QSLOd2HL0HXY5muglfXnpDqFs/Q2tWoZvIAoXfJCuGphzo
gVDQ/mrkfkHutv8Y5OaX0XP/LjXRRRiC+LU46/hIRXVE9PHRFOiKe4tTbItW7tJCnUuL6JmtNWMk
k0/V0sKIVadAF2ljNhFzfJ/Tc71WV3BD5zhpVHS6KeSxCXT5tGxiP+bzzZi9ByePrC9rntRvUn5v
+YI8RM6LfchqQeJM0cyHynLyl7qeccqsXbXfShml0hz/gU+0KTxKFvciHxMLrScXQzA/rmW0ppFs
m120ec5jXbs3Jxyfl2pAwqKl9R0Uld4zQIl/sigC1NCm/Gm2/rYQtHBqA16dafowG9m8R5bezy7Q
bSMOViNIr+BD1UidvdKad0Gpl1sdtH/9hjhSx+mGW7NxkzomjDIkCrV6nv9PWBRDrJOKdsQ+7+fW
Ca6rqkIdu7r1Lp6dOeeiUf8yoJpkW1f7Gjn5e29Dm2WuomGw/5FyHc71WDmphcfiUFjl1R5k/h3J
UIt4mHuJmdDtMqoUQi+tgPq/wX77C/rpYj+FW1o6xZwyetq7qSSHcOmD/RzUMHxce/VxRRzTe+rq
B0SarGuHmhsFcdC0z8oTr0D3n2iVrmDIS5zlxY8nSkTmeZHORnQ0pDpzvdEqTI30ueMGvoYT8wLH
UXERDlAu1S1+YtamD4JVPWQ9k1vUNtvBnSyOPxk6H1m3AJC5yv9uWmf46lwrcVBRb46RyCkK2OCH
VLXrTmjvV10P9o416OjOzrGCl2vGLjp23D+HyuOlniN3isdQXdw5f5/a1jgv4fpsV8WP72ZNatZh
efAn/T0pK85G71/old8Der+dXpzgrShtc4+akItccxRlkRO7o+JiK+rlAVTbj9uyekLj9JhlJrmd
g3O0jO+pNuLamPbe7PrHwtbnpTaePPiy72GZYFVsicbZnZlmse/yzXlE/lKzdCxmz3nzcFFA0nTh
3neGS9cPPFxBO+xabZk7+Og/Y9GdHPJtLohd5M3dqiWNgnKExhnDy2x3r1HJWuNlfRSrQP8O5yw6
hlPoH6GTKladu3hLAguG0fbkGPW7h3oeoa2Giw0mGNLq7BTtL2B5aAtj6o6gGzBSBUvdBYMAqxUz
fkOMp4vAnNczjjAfhHFo1gzLtfseelb1HvRWz/hlG6ehr/oPtwqaByPwWnwbAOdDcK+mGNeWgsJt
o0JhEpaIi4oNtbIw/TfYIJ4KnedxaxWKrilGjsFrpgfFNf8vWmvyrwf4GADO9aH2/Pc2aPTRsav6
J1NW91Yavp22W9H862rHP08uMZvB4pbJamf1rnZqQWTkWCeO7WScOU65V35TfraVJKHfqcdvVARw
DIX3T9oj1GqIO3ZTQYtsRYOpUKyN9jeE0BamOiLfvceLcuvcXfZnM0RZklVOmW71tv2UQhuH1vAX
OgU1iuSsMvQLP82U9FWkEecWYmeuPmjpiPQP18wUvLqjhKTyXfGMBNp5GZyg6JLOWGokOgur1F31
zNhIu7DrjU/O1OontvHwQTXmHJvREFCNSPkpJCFi3pDU5VUu6MCXngFEqQ1CTOdps3XrvgrwnoSF
Yb5NoVVcs8rOktoIyqu0i2StLfyPmezPMstDwZ+sp8924mcYlmgl2ViZp9X0XouqPRQjT0s+DdM+
zEnoZJznaG0Wd76Mjf1od3gZvGle3HQIpOQrXAfW5nabf9yg1QdGmCZuLBOFTmfJl1Fsn45ZX/N5
bG9mpcMUDxxPZh4sh1kN1t826zJiDCTXv++5FPCVDcThTi199bpUy48ujW0XobR4rXqnSvI1iCCe
8uzLMmykwkYGhmCzW993+vaghVGnNZkFYIRA1MmSzcFtJcg2Idf0yy7CjHE7mOyEBeca3SvCCE90
ulgpaX9lY9Ufc3+YOKE035tbfLm1HuIiM38yb6UKlK/nwryJc8fdiu9Bk9qerV8G1pcoy7AEeFOd
tJPdx8iRzkbjbInZBw6jKCwCO1W+nYn6CY4TxpGPsDTgcd3FgoruDHc5tXOVR/EcIgulqapIrN7K
k2UFuRgmMzz6WI4+nNESR7B2lBzS2i4dD/clg2B7LHP3XvUtnI+wMh+7ViMt73XGwdxuKE3C3gSS
zJsiNTyd9bHO7IfZ3Caewm29eUHpsdM14lmptj6bm0OwcG44exEhM2U8ky4vxPAPlCZLNmvZzq4h
bASuRpdIY7740jEOJgnLj2sd3ELG0LYJ945TLrFaluwN6dp/ijENko85YSfncotpGkW7ttkyHdfc
iAEVZ2a13jh1Fovv/9HpGJ1Zu7MN7PJLn1EIE1kskuhMzVkVh7LxCvjSIZwfnCjaZ52fISAQO0lJ
aksrUIL7njiViISYGr/Ia2Vl+UO/ZDZOCZLFN7ua95o95MuXfVoNznbsGtFdUAkwRrkejIt1K0VQ
vWmvZ1/SBfCJnsOT71UMntDa18xvnYvtZlyfS2+eh2FdrkVFF7NaGSRZQu2DrYc6gdAB/HS742hs
w4pxJNh7WcAPXE/fuN3/ZivInCiYcBszxuvzZVWOcdSRz9uEJD1uhQUu0We9f5DT2O6qsqJCzxW/
F9vb2dmbYRVJtp3zGc+GZ7k9d/FmPSNOPi1tv+1VuYQxrVbRgSAYxaTXIg0YgKWHx9ZvruamH+eI
SXg189RtB0YioJaoNWzOLT2mfj3+4pFmdxTecw2PG2eR+clido5mhvDASzhupgPOZ/UfGEbSRwaB
JAEivKXN/2Y+PwRaoX0jKDzbts6OZ47wD8uMzsPkvpiehhF3y/+EYPIDc29+1QJFgms2beJv1oQ2
YfmxGpnts7l8abIc9q3CO+R3dnkbbMQCO1lhbZnqPPEt8aWBU2btvhhhEzv1WRm0fht8kVEV/dfa
ag82sru7WcgnJ9x8E/0FcrFjrdfTzR8sPyHCpj47HTENeMVD0cGzyRHR9Li+rps1pGu+frqdJxI2
i/+srt8r7DOHQgfVQ7XaWCfm8DADRx8L2bSXRTdGOmlxXoN1vK59PR+dUXCmjHlzKaPgK/DnDLdI
n87Z9m6Bbb/lflXcb1DHusw1buRQo4/BQRL3ZcBdshbWviWDWjH/NgjWCvepyyL+M/ocoRPH8Jr1
oR/NkoIDWnD/sAYT9OQEQ/FoFhtHTrdaTn8dVlPt+6lbsVEgBwGIK0erTVc9ifrHJ92hR7aGMAIO
cnTsHRaL0OePb8EdkJ7yZVdMxXbIHM9gK5gzLyMzHq8f+U/uTcncKM9ZKNF3ZGERflmT02uE85b6
s0RdFCat3RU/g2yWs93n+AkNSxA1Mtrs9GUz/Fq9tUZXsfwmtEqgVoo+TEQfFnoCKc6h4bx4aDeY
k8QDRwZYG5qVB5PV5LUJWqwgi2MeSqM0eVeH6IaLqX6dm1Jctv/b8YzIQw8i7mkV2TSi93Fhb5pS
WvtRrcFTRHlfSim4uJh6kAftS/8UOVbiCUlNmlG4z+NmXOjP+q2FV4GooDTHuxBrJziswd/B5VVa
LNJ/zPXfWMj6YwRSfgx6wtoNzEP8/E2w1wMh1P7aII1ZKfzMNjoONtoIYVB0uFt1TuVVP/+eI+95
sCZ52nR9b2ya8xfSmRMPhiuGSAbgbLbyPcskw4hGoJHBktlMYJyuszxsXp+WQXPuSrc6TyWbnpVb
NFTKKUGriag/q+RhseE5qhqEWw5ZmHgo7azWB3MTz9ZiRn+mqV+++7sfsti4/xDceFO8bvi5/IZX
zp7xjiPiysbnelyfEJtwbDj3YaX0byuNCqmrZt7i+W62LA374BQb3Sq5fGe/eechtXedVWGONL+E
naVBmL+N4XbqmugZT6PzH6BXO8QGCZSJ2fIGiaas0tGoeSwyr3sL1yWgfsD8m88rkNEUAnfPDt0u
bsG/KjOpLwj0TS7eP3fjNm6N0XlEvxO7fuGDgZoA0NlmMhSsPNFj6G2/Qd2b1FoaumCdckwU00jc
28iL/FFA2ZSWdxw7lSif8ljMxD4CMvXSGcMp6zO4ooilmePeiYsJi65ehJvWWyAPxrwVNUaL0H8a
6nnc1VQG7P0pz79AwZG4UU67d5fA/4wwSHDGmNl/Y1nhFO5r49PsMHrFNtf5GiNpal7Kdqw+od2a
ZGOgZUVurv1S/Ldp9HiV8cfSykudsCm+UKD9BpofD1o1f0Oebq712JZGvLX+qcJ5h8+3Ue0xU+zR
A3a8A6v/W0RXE2g3o48qwr9cf1Va6GxXW1tahVlzlY63XkDfl7Qz++7V9Uv7ev8FqdEQO6/DZzq0
1YtpmgVP2+bGswEsOVeZHedGhcsTwz0hnttjLXVz0H3fJ8HkF+lG8ELvk2uv6vIP5rt3f2nOs9ji
yiiPuYPAvRIl6F4VVvu27n6FsENpyZfNyCzbvRNlcLOt8RS4qrZ5Idz60V7qiVW7OHp1jzLDddYY
7d78u5/N4NVyBvPXLKUf50MbJDYLwktT06JCRol7h86p+7CFeIBqFC/tKhFWQVE9o1EfH/pBBYma
oiMSuGjfLLmFsdU0QHs2Xb31DIpJ3WYoCOvIOIVDJF+HUPZ7nrtxiB25LrS/ueu+Dmoq9kaMwebs
l5fcb4eEwfYPt6VNPdvM/d5BZqIWA/6IqNke2uLVCQ3/4tSIwPyufMCmjatcC+bZqv+VE+C/82yd
9H77z7aGE1Gj3PV1od87EV4Hs3eSUDG/eENia1Jhsw6pif09YtRAf0e9gcytm52b6k/jjfTZBk61
y0fqPZuAXXDQpjrxMDa30C+8S7Zy4Wuzi906f8n44Oe8p6ylvHNYOMTtxIQ7Zr1s3EtUIQuearkD
pPkY2oa31Qy4v5zhqhbDPbd+Ox+1WhNjGZo31kKSWGf7zRiMAg++emrwB6dhAT2QR8SOB2xT8bjC
Vomt4llFe+c4GdhuPaasSI3gisnYkYzlD3LWAilaM2TPviIzTOOTPnRgvqVv/DXGvOafJpEaj3Ig
s7+NrnbTobMJbduFI26Xq9vC4/rr/GsYx3/DPJSxatjR+4qVQKnPkE4Rrn2QWLty+iexLbulow0l
m/H0ZunUWyJBXVPvqI98awUG0UFe2tbHBGzJeXvOCVe/cemrdLM7ZydNnYhyfmh7i/o3i/M063r0
inV+ssMxSwK84XE5wEcgFebmdPrTMFXsZuNzNPnluejVA/Xpt7z1i2uB1AlWtC4bYplAPea5hggO
3PcJsuSYz4Z8zNrGSIJOAt0aZQcq2jh4Khcw5Yj1aCnWrxrKIucNpRhreAxnlwr7sAHZNalxtusI
UznUnwtJc5z7zD1YQo5/VzmwTt+jEcpo08ys6HmJo1pATAlHTr1GBffuELnExRb89gAEL1Y/AVgP
/r7HXrrwyABsO2gmmT5C1bmvoRIS9nrRR9zJPr172HxDgVOnLayBCQnp+GaYEgi8sWKzBfsdrC0/
6tp6QsneXcaV+0p4qLejotr4EXszTILGHX48q3SPkfS/sIZSzZUhwvKDEcLCh2+sG7s+ueiBUzxE
+SULurO1NcahEQCUZfjVazz/E81aMSL3dCizMW0LTtlyNZzrvFWc/+KYi+5vbwd8I+tuWNqDHKqX
wEdXOV0A2HbCXt+clle8gO61fI2E9tPiByo2jOKyunohNlRtfVYaPDlsXw0PFKWglMcxevYz0N8B
772NDYFmL4x+9mFAcO1P1m1Ywnmvpknt7Gj+4HU9z+bwuoVjG6/aPpW9D6A2peZKssLUpJL3CB94
qu3hsMyYitFVpqCKaTOUtKBghuIoYRLVnNLbqJAO2CeNXbEwrJ9AWjubN0WGkIO5yfOJFZiC4rS1
AEw3PrkY2sM2F6yV064JnRPrAPCCcRZk08E/12D7EIRZdbAYNE+bcq1Hux4JNRxrVbyrYCnj0RiK
tKoU4WpW+TSxLB9Kum1vyOhSe9bjUXqwQ8BKfIem+b7NxkEQ4fCUG8TMWWPIceWG4tEeW5VQNIM1
OJNrgknYPPoZWFQJrHi1Zvt3EBQIQ5RVnng33PKhyOv2yUHMsBsKmZ2GdmTyV9xmWMJ+Ft8zDhyN
BDHQEmNAinJvu+9DCHGiC1F9clsgEmgUPg2ZRQfRlV84g2teSqTTlak3lLvmv7Bx18ci0PauWPqR
5bFYE9caSc2cAv9jq0de4ApeDyy9Xc2Dr3TcyYAV3PlyWFGUag6R3WGf5rgLASCcWSdjG8CrrzbJ
gnJJPWVRe9Ymru/zdYQEoOgg7VqFs3SNjnnRny0dtGlYLluSFyNeFCzXNlAlHbQOuNhntFonp7Bh
pudEKqT/W0hMTDWxOnYlqTP3c1H+W9toL9xyN0++4KgtNgyyzjWYqZzPGIh6lPqoULwDwYoN8shi
uvq+u/dMkH1lvwSWYT33bHVsN+FLWYWfhlvOu2oBlUUmvPMs6BrpMbJ2RfTEL2E8ahaFL8fqWbSH
rAsPo9uguHH7wr6hX+ZTAGBpc0wCFF/6P4e1DgqxXsLjNJF9aqyri+mCCE1PgPwTz6DuBPA7TPil
zyHxbYtrTTrrmIoqzB8io3qN5qy+jJnX7jyfiErAGXazrDCYYgTwRXWhtSNRkngc6T/5JHAHRfuy
GcUvgrkPS58fwo52eDd4sYuatBZAvx2paEWSW9FrbrfQVcNErImMahg2sV0at0XnZPJ7xYsnzP+Q
wxJoShJE92EpUaemJZxoR8G6fG8s7rLDJARdvRDRNPnUIag34cw3E6IPkDogEyDfZWu/rzUl19Li
1otMfkTyPTaVMoJGkvAEExA6aJXAaGBH4hBOvJEJAvfNf4uQqdP43YtTN+Xm+1IslOux53tRwh/n
dfYUXgWvKnnTTV/vvWFTz2VY52cmSaRnkXPHsEzOpcmy8n8iyJDrZSEBAFtCxI19Yimtkql16zS4
A5sWGoOdWhmIDHe6eUQV7HrTegxUxyGqeVUbw0xUlL2W2r8fsc6w6107PwUi764Cy2UaFBHu615+
oI0TSeUPH8jHWAmccTuprs6f14qrOYR1kEGTIu76Z/akqcxkLbgGvYUOlui43hwn9qNJp6EvjZ3d
a/NQW97bqsSTyTG0DPOz5IEj3KU760rdzMV+JHHk/Y5/7vvAUicXU9vOmc1qbzqwA9FILSkNjdH7
uizUbC7GrSttDgUfiGGEyYNA716QmUFnbukC3B6rKt+7+fYYlvlu8+/U8N2doSznxTLWFFg0QGtT
0aqKXIFupVdSETdY4iBKAwNnle20QFys7B13OIBZ3fbGTfeDOBgiGo0452FJhFp/arwQiQ7WiFDi
Md85AmRNDu3DFDCvNu1WpnmPBnEOVvXCPOlfgtEcuX0a48Gqebsr+/+v1JTvtdvae9VIMk2i5bVZ
2d4GE6Q5pLUsyEi3GQVl5BMeKaazHA58wpygRuxolYW9JnAKnVSbY+/JQzozl7QXrZVx6Eo1PPCN
BHHhVPVXPgp7F2zk+zYFE1+r50/tO/NRuqbeGVmvEjOfkQlu3XaArQtvRd/+myAT4oYK4RQrfvFE
hIsde5zPKfx72kfZH7qpmelEnjTIto7GFM37erpPri5TGQBN9hCZ82+IVyJigOCQIho4UZ0pSprG
zI/z5oPNb3P+NILHJjKyvKQc4VsyRSksYrpu59t6eeuZWs78rffCITyTsBnjsVxDxXXatNnTZrhd
6knOh87uzL0fTOUbk/6yW4GOYxtY56kTRfdMoBTdCJpRiO3D/SGlaL7giNmukV4wCfpjVaRRmJEA
72tGo2isDtIaR6j/Wj47lWdf8AzNV41Kk4AV9C2ElazBkIQ+pS4gX+tz3ZfD37n2NPuzzMI3b7Kf
GCO3kNwMgoIYGAdIUjOHG/lcBY6etETYViXVWpn04c0edAUcaGLw6ZOp82S8Ol3zn9K2aH9rCkJJ
Y0IU/J89tR6HGlKuWEQrGj7tuffcGbFYl97pFfOR7q+Ep03Ffljvqo+KhzSMC+XkT6WttmdyVIBl
cJ0yjKmFZk7SvYQmpSDyUdM6NjYz5q3aDO9HNNrVrk21owNiC3gzsPD80eQFHbxNTHFX45SJXRLH
X1wh+6OHx5jYpCe7qfYiYF8pxi16HonDShC+mhe3gx9L3aKZnFPpzlbENokexADfS6JyuWSO/aZV
VD2KmXGIdK6H2Y0oDZzscS+r8Vu17qNrsOFIF5aYCuX2XJe1cVwyaOpa2cx6ObCZcPl/Jrf8a1Cb
dbWG4pQbtN+Q8fTkyGU9TkqlThM8EmKUZMH0KZhps2hMnWjZ98N0Mfl1Ctl+qyj/kJjH6BTuE5CA
h8yPTstYpaYNrsdsSILsggfOmoxyP3I79jGqq/zc5uO0CxavYMlZjcvW520iB+EemILCFFurc8ml
x99EwXvnjKbfdr/utTIzgqLmgLDRhUn77h6L4ADP05J7L62AAI2VyKzvPpAjugadTb82TFnXucnk
94A5MhHrEPlJR+RU2jnmuBsYbol/Lbrswar08MkA9uyELaYzdCDh0cj76VCyucSyVpKbbZT//Loo
UwDuF+W4Cyvw+ihs85/ybJho42TK6cGUas9Demv1tOuJuCg6YrVU95o13g8dWVzRjcve2EWOuxdh
ZuwXaeh334YbjtFw30pZEKtO1hhS3VoeZO2lelq4tBHZY7kcw6UKv6sugBhwBqfbdVvjfOMsqb+W
gclO5AXBl509uSx51cmZGy+17WZ5Uo31OM7dOCcRCOSDPwM9U7cR5l9iuz+llfJ/YaHd4nJpqhOI
iWIGdZiHuRP/x9yZLMetrNf6VRweGyeQiT7i+g4KVcUqdqJIURI5QahF3yQS/dPfD/IJmyzS5JVH
Hpwm9t7aKACJbP5/rW95Y/ehhAh1X+YFG/skReyj+uTCSwKb5oKI9pZhyAfKrLcmvaBzr+Dz4IBg
/Cx7x0D5nNbBfdkwTHK44MCu/OwwORXu2tJaviappOxBz/gXCor6yi7n7FOKXJa2hGEcK6l4Ho34
NjjyRxOw+/XTKvsgo+qhL3r7iuPK/MWUMgIO1LcfZ8Q/ZxoVy3eXM8Kxb5T6YJqNfYO6Xl7g6ssu
NQ/3A7MyvYsW2BElThjlbTUevSzPv3dtgCIYZUYw4c+ze6p81tz2l5VckmuMpeUuLtvt7MbZrm1F
cKi7wPySTd73jAzfi2Gk3uwWqLonHvh15szB1pls0tjjfDzkqrAe40pPWw9P3x3fK8jlsuJk6RIT
EbiXeTnCGxuPC5kLFwAcyB13hmw+FH3TDjvHnn6NFQqwtMDlast5X0d9u3X6+afhDR3Yq6b+GBDG
R/OmA3iwiOKjN8zUFk3QvFFdBFSs1ezeZTX/4hHRQViYtd5KL/+CVNN57Owcylajs63u/P6nxwSn
NgsCZI7SfF4U+SlS6UU0Z6kn5XUzsnEFZvi9jg0aCaPtn7uJJq01jboDBahyXxu9d8cJTO6EGw/7
OuPppGnzmA20GEcj5bPxfXPblPN9jT8WsWOKo9JxjtLw62vqQfaFxckHaQHf/pwtD16yQprMmXxN
mBd3nshZCnThzgc9uo9JHwSX5drm8Kequi9JPIVoiGlgGXipVY70xPNi5u90+FW7Ft5sWWJ2rykC
L5Up91T2kGL1M8oRK+rSbWUZy37UJqr7Mim8Q1c7lF8mS1c71GLlgaBTh4Y6vszRW7wHzh50jDv3
KKz+olMSnVUT2f3BNZ3oQuTKPvNAoh1TDrJUP0R0nCHGhb0Ao6yC7MLBZnMNO8enPtEAPBy9M10R
v9SYlHWcPCcMO0v8m2jpBDITzzjji1hoQS3RJ1mw5aj8oDv3E2SVbBeKw7L4WTjiizsz2XB9QwOI
ElJS6/WoqrPvE3hm0UvtnDZhFYzFlyFyY7g9AWrekSoj87YZP1IzYWPktuZdSfM+JKclCLXr6ttC
B+cBDO2wSqer2kt+pAuoMZqR2SXN0CAUqz0sQy3RbKiHqNDyWvfgp8Oya5BFhMOU/3CK8XOTcg6G
kIBMTvVHjU3+0EH8A3vgiH2t50+wV+bPU2J8QIFNQdoL7vtUViSpmQ8Dfl2CXB3Qm+YqHlbB0a2q
a5JR7sDKgCr0dLVlBQTaiAmI2rqDjdWKz6pqDeRQ9a1kmf446lyflYaN4x+Y2MEy3Nrc+Eihtjnu
l3tZNR9RGzhhRgUR1ezagZ2pxprZHGxiK7+mhbAbV7qY+jM4qsrBic0Mn+p52dUJOzUpqUAFGZXG
Tef7RrjMetyaoCANYNZO2rrbACbLRgizO6LhTA/stZl23MX/jBPLZi1TlPNqQx3UmPph4OYVWsMU
H4lhOAenzZxLELvVzo+xF6C47XrOkq1V/UA/4x1SnNhxCSZxqPMr00jN67434EgqO+K5yBk+Q+Xu
A+zFYe2wo0EWwrG865lvkOBOlsq3Mb5kRiln3BUZl2SiuRmlsj5oH6W9Fc+rARrOxWdk4+OhHZrp
kq1XS0fN+LEMyVobElbIoP7QaMVeZ85K6krrXisup7NgscZLV2fzf0R4/JWb9k12yv8ffGm93n/i
h/93oIRdvG3/vY3v2OLjq34+tfGtf+A/bHyG84+Vh0Zn0cWMiUxrzbT9J1ZJmOBWfGhqkFaALuHx
+y8jn/MP+GmORVaXAIi+WmafGPlsPHf8Vcv/ezcthsAnLj5sgNCBELCCM8IZ6GL1fe7iE5yHtIZa
GSopH1zhLPugqeUuW0rjDBt4uX3yZF7xer+AJ63X45evjkFSo13vBJ6USx+dS8L1YKYiNuPIWzJJ
xji8AlntO3fozpipa0oz7O4TFPVfM0exIezs+tjoaj7vxolTbEMBvcBYaPSS7WGxWqTe/qE839Pn
gruYVwZASUA5X5/bE3ZSwNeyVBDNwtRrHxUys/PEgoJJtq/6Kxr9+gYwUQYuV/MC/Nby5Eqi18Br
NMvEgO3sbCTH/QwNDvLAzK8fvQkV/Nt3dkqF4nougkYiahldwrFP3ngqi7RsJdwFmY8IBrLFBqaL
3AfEynzVj+CFU8vw33nvL4cZo4vnSGwL0SXSWs2kTx4nGJRSFzbMg8rCo2QUJSu1znNkpbM6gJ3+
/fY9ynUY/Zc59c9DdRkiwEXAXgXEUTy/Xqfb2CrSXKFOqJIUEF0+3Ccix0pQY678mmHGpmjRC+PO
8kAp0Nlv3TsFdecnwKoCeRcq8AFQV0uX2WX77u0SAwNJyD0s0zbKbPdTgVriRzJW5iOsYHgVjVz8
Ow4uQh3evpnXnh0DhFQUwYHDNteh+uTZtakSiGwbFU7oyy6rtoX/qqflsozzGpKndHdvX++VAcLY
sNZxKV0JZun59Sgh6GgZa+yduWGfjUOPjtSw+i3FrfxalUZ0h17+vRAhASXq9I35sKWI2CLR3TK9
k8+AxnJMnxj+YDGMJF04s2AzlRXtWWurbGcaRXQUUqV/9JPbtJrYPBZUyeLasd8Zqy8/fUDBa4Qy
nAEnsE6jqAzH1xQnHMDEdHzPU0DFZzMlsDvX7JZ3Uq/WYXgyTH1yXUlO8vCNSPvks5B966I1gcKC
7MG/gBZHqybpm+PbL/TVqwTM8wANmGOsE2CCdhLEZJ5oQitepQFdjfKrztt35rGXV/EluzmWEp+3
56wr1tNhanNuysrWqEO0BPW+siLJJG9grPzr1+MjsuWJAZMnzdo5WUEqAA+Ad7qa3ngg6OtzI9gj
lrDs5vTvL+XyWoJ1quT9/ImFevLlORnUJTOhb+aYqbrA9ulhIsrMXQvgOfzbd+R7ZO/aWPZN/mOt
T/fJpTg/TL4u6wb3VQYTLwiyg++jqHz7Ki+/MjYbhBZYNmMND8lpco3j+IYsWi5jusEE2Ij+AaHW
/vdpsMQOmiFmwDwC5Js4y86Bo37WN0i4Ohm574z8F5MMYEgmWSAijBfoxSdvMfbc1uidkoLvgArH
H5iqG3byF8XUIopIJxDsmFLe+RDWpe3Z58ZFyTvklASeUAbOSSibN7aDStchWhVWFlqsgxsA6Lht
KBagHuI0Npidvy0IFvgfPHjiDdhOkBwBN9I/uV8xl6sEj/tNQNfClI5oVGUJpwyjlJetgS5lJGro
OkMvedEP9bT1M/ytPhGx74zp1x48Y4yAJB46OM91Hn4y0ERPgkpeZ02Yl9S90Phclhk6xoRmXxjH
gYFKzm/fWcEAxpw+eY8PiC0uOw7oMc6Kk3l61cVxOwvdIV49ZoTzKM5WaZGS/U2amg0aTSyQZzVt
CURc/YR5zCqsr4NbBxc1xct5YxLmgO8CXz2F9iVDlWL7FfU+abjpuZHF7rxLPZeFXgXV/AvbhPNV
9bZRHmM7Tq4SXcaobXNpa5TnwJ5yhG3IaGZRfe5b2Y300PxkOqM04qOiIR7xqspbXOBe1cnzxmrj
j9REMFFoWlx0FPwEMVcN5YsXBEvtdurR5jZ6ML8pHGzsBETR4tQPWrL40lkHtx0SULmzuooDKvWG
mhoYDSd/Q4yd+hwQAdLu6oY42w0kFkoTjFzIgW1DYWDJIuUc7L4xfkTp5HxmlwxRhu2LQmSw6Ju8
xzQE3A3MHaQr++OS4b/f4d01sWYD7rhMp7J4wBXdgLJKTfU9AsB3b+OwBp9DSsF2tPDIIjXBzLud
emfC7UjO5A+4ZxJVPYqwGyUTy6OUq6cSeSByCRrkE92XMoI9t4lL5KyYZFvTCQk0YFeFMFyMeIXo
VmKVShSn0WZMrjyYbvdtSZ9qbSRjxKGuLlKCAax83s0AMspwhlFwZUhK4husOYm3dtD89NAPjeHR
XQUUgdkbHQBJG15/P8qGDXlCpQJoaJfaD4jFUH4OjTmTYambAY0MwtnHkparhtMABS6FsJHtksGr
Yd14NtqHlJYx3JFENddN5WuehCQvO/TUiKoirhYbqpDVdeM+6zQgh8D3YgymjUXTzxBuWoaKHeLn
MR2HmC+WBXDr0q2JNuVYW/x/5NFfgqZZxm0btMZDQZcXpe4U4x2wqp50Moro1mVX9j1+fzObvrQN
HYaw9gNFUsNsjg/jsDCK2iCbvnmNQ0bLWHXqJnH07DaboGt8MHqkEmO1tNVyPSdm4O5IRGQDn/VT
cZb0SNVCFfX1EA5drfutO8fRwZ2X2d332QjhoAGcR45TqsUNVS0sZfnQZZDrojW2ogcKdpWORf57
QB5Ec1EMxRd6nuONu7K02ZKycQHZksfX2Gt7vOqM63EPBhDvvYO88ENTSuveJIYAwZcvm2OCFyjH
IW72kAZH/KeBi5l8C+XR/Z6YDu78hq3EBjuy1pvZqdKf3tCLZRML3T1grUGolhRT3e2t1oIcSf0S
iahpKBgd2lfTsQfOTf2SEkm1OttIP0CbbP7mkTOpdx05MRj8RrhrVNXNsLVQyu+6vqBsvHhLW++c
3HJ7SqLCuEg6X1S4fyO0Z2TpAcgukxRHshwIQGXOSO1LrN8DejlUXXpr2AQehF1Z0DXsYzh425J2
SQzy08BLXxnkjm1018zfM8sZaRkYKr3pDAijm67XqGFSXWImcv3axVc+5C0W4KKtIITLcecVito1
erHgJ+VLfmwEuOHTqvb5SFq0Z54NDQ0apLLloTHN6Hb9nonmQrmMVVUPwwNozOALYP8cNRtJSqig
Zpyloce8VtGJLINfgd8lCwcyWpFqEg5wBayx2GGw4DDqRslBXcdxfZdSqcKpha3JYIhKfZkXHRQr
ozexO8xu666YRGYDVKGI08FV1feyWxCEZtAsfyIw6B47zp81JwvtoMflk94KdEhO2NGNRUHnzYAZ
s7zub90qrTBsddXU78chqyT9OW8AXzxO5nBMtIo+5HaKk2JoqMCGjpfgcaYhz/QsEpTVyBWsbks0
pvVFjq3/qZkjk1bhLPvHYPEU3ZpuREWFktymCbpGPtCGcdpdKZGObeKkV1fdTL4QsiidI37Abc+X
2Dwmw1z/cDNJVdEBVtgz45O4sC0kKtZpIPriglN/8sEkAyHfEcCCm4Ip2fm5OEabIcJq5GMP1TUO
Ex3ghe+U1aPNjmfyJkElX6F/KoAVcWTO94PraMCQoEH937zOsbpF2OiIbQSlt6Ngas8zgyqWPzGM
QX3EEd7+oX/ca8MoHpfEMxeqlmLKIdqPvXkOedSG+tIlQY6yJhu/ssvMwZl4i4MqqkUnUDVeWR+i
IYVkmdJULEL+KlVIFbQT1mZ/LEPRRM6PwUfytotmPgYCJtxIbtNGAvMYaQWMfNtl7JEqU7cOi5iR
I7Y3ATupoYYZMappwf0jaqrZtPFAPUTZUl1mLqX/HSWpFCCil2CNGrwFXbFGqmAgmK/zDyqfonmr
2rTASUai0v3MSUSHU6UwmQHDLr6waOHlcUen2TWUHZCJNNHynQouGABG6HxX9qbiaZQty/csBpo3
i1tjcVe1adMu7oqg5e+6gESGMldWmHelq7Zz5RG4ircHQ0OZe999L8rRD4gRd2Jkj0zrImkXRFKN
lJeEPMkW4el6C9Qh2s/gb+qELpJHTyFN6LOGAcFODwb2PX/T6Rrznbs0fE92YaLRnD3rdzngdA9l
grGOmsXCdNrjXH0g/sDIwryo/R8iiFE906BtHgfRK/hE8Wzf2iBoyQQhfvOSvVULDAAS6Q9PeeYv
F6vb1jPZQG1MPUS/YzzwOEOJKOyxFtTRl5Y9e7KxLatxtmOZR5ep31s/LbKddkW11I9YB5wPEbk4
NKlyq70pcApcGfWUtSx1BR4ZY7rxU+CfoUNHarWjm92OCSbflxlxTbkJEgCjbH1M8fGtNCKc9sqq
IOjFNK5+1U26PDhOYn8yamyM0kOgSV1St+gaUYQh+yRgO0Sa229LHC3ulW1Vtj5gdRi/jMA9m5AH
Z6JT9iRYpMzvvwxskr4RxKDFMUEI8ymqK4R3mWz9NETaM+8iu0Apoxwv+2o7EecibNF6TzcYZXSH
hyFdE6KLedPHKR+WmRf9edt4TYzqhXrP1l//mZBFd/6NuRU1eyksOEkZoBtOTTRq7xaQQdZWlfPy
BcCWUW81uWPXWa0CTMk5ArOwZwgFFDhx3Nzi3lxTIuADf1Jjw8wsJ+2uPrvEqZMQo6EO9lkVddOW
OlT0rZcWelX6KZ9cqP5ABkQvEXVktb4vk/UIGenW+cqg9T5Bp23OWedicspK1EtbMfk0QtkOqmBr
m6kLXbaoU7X1Rp92lylVl8BFaJoINGCBtDFIsDudm4VfHxUNuvRs5cmnGwkn+Ksxk5KxcfHvWaGC
0uWtotXkUiam1W48J5ffOYoAVxMmSsAddMPsu/InjSWtnS32UK5DcSItVXphzyYBRXSJg1uzR3t9
sLWs4400HX3XRfxBML3JeC8WJzv05gCTQ9sZZB8EAbc2lZafTQlmQ3jdvGyHLDUnMK6Aqre8NMjQ
2jCjh4isHwjcZocS0CoMGR+ISqs+6rQG0FJ4JQ3HzEysDyrRSKgj3Li0c8eY+d0f4vE+rVwEtVMy
s0/rsh4XkWQjoGjlBMZNm8Vs0VzkksehjpmSaNPnP22wMxhdu7n5OAPLA6MLf+S8aZvZ3Hj9APuI
HUFKDBj6drZp5RgpaAG2jzQpaJabDPMs4XDaa36aWOc4eggZYYghGmfeNPEgjhiAXYynhT6bcl/u
bFaSHMHeDJqj6wVvpu+Hm2lO2J1Hg6bjim0Xa7Yp9fzBcMcBbqTk6PfRdgQ94WhJRrrL8GZ+YYum
l5EYrbeBuIW0xI4VleoJWwxxUfaY6y1hqsl4qPNx2mm7Iw/ILQrK+16v+oe29ZCGm4PJM42YTH8p
Pwa5beNgg1CdL3TVPPA1u7oUqbt3hz7xtjHewRXtUGG27mReMZYwAXwb2AxFGwLoo4HYOWbmsGrF
2IbYFbyrTOnc2nvDShdZ2BFuWs9EwW2IdlpNW+th35hN86NNHpGzQeEJDhltNU2DYu5mezsq1V0h
rV2IbgpWeHKuh01usd6zK+efRtrvrEZy5GK/XNwpmBuQTxADKkpe4dQu7WEiXYWUP7QuKQoCT5hE
lg3Tp1Vkfem3dY5Mi73+MRcNoqaBg/JRAbrAEFpgguyHCZsmfYgvgzARrPR8mha7ezU9RpIcFVn5
ptovcAJQd2WN3GtHdS0HOJbqXYMp+SPkL0SKnZt7n2bXBXU41T5YMr/u8foL2hc6dErmnNBgX4AY
OhumW/ydzGxLahOuVS/Or050bOtVlGSb1irL34HV6R8EWPjTdaaX5sGpsp79oJfheuM2uzasVd2U
H3tdWl/7dk690LcT2wA7Jzq05i2cFNAmmi8nrs0+3yWsuQk9/sxU20g3yxfdtfZ0IduJ/o/OJuta
FBVePdOi8BYWaLkOSztzmpsY9i6qA4+esWbPC5wmLcv96GMuRTayYE8wprn9bMwSlz8vX3woWgEZ
CPjGsC162BzYX7RzruvetUOZDdgYlypILgMd1wIVpUuOG/86nNCjqKtPwOZdPDYdPXNViOBqyioU
jE0NDl6p1oX0kTXFw+i108cxjoxfma9Q2s/INvNza0BIEILUkthO2LleLfE6p4xRNood+6T1oJL7
Nno51fhnUnn6IfAqLO3mXKXHztLTzwAl3Xzmo4Jxt9o30ni7NIKSQmA58Xe7t0xeWF1VocvuyAon
tcIShkKMOSpNtNBSoTfmqKxwWdh5V6EFGPLY2rMiQuKnOmhk+y5w/ENiq6hmw2zn3xa+YszlBjwq
7Gw87YS++DUmRft31s72LyTa7QUJkd5wYPPGCW4ag/SzXDyHhn3MfIEsn4DLJkEqNLNZwF40a6Th
larQHncpThAcmjaZjjrrt7ZHkt/DXCGw2fqSzJftoFvQhC2Y0U1bxwuMNVGydZzg1xxrNeUrVAxZ
x37IVDMB5kV3fsbKiuGpG/OhBu2JgRUbZWtcTAgAuas4yZh70oFzsuGzXLKFa350EgsaCHLAN7mV
L49T13WXOp0NEplKg6BU+qS00UkoChPUitZ5rBTleTr8PGJjbFp1nmf9HO85MTbfWsxK6LzbBd1+
09VxEfZNGfvXtqjMO0yw3rzD+gCYhUqj+ROPh40tLliPybWVRCg6dB2HBZmYiKNbkd073Wh/1XzE
07HslP1rTsflVtm+jMOgQNHIaSoG9VBnwsHz50Q+9RfFCYS4AHR9OZMwfzmv/XvLdMrgLLVtDK5W
3TOlJHwF6FkEFwtxdg/5cbQG/zKo8pQnjgj9aMHIF8hlE8WWtOqt755LPX8ja1tXR496/7D1mjY7
18QbkO1MrDsazbrwaB1HSP7RlQYCnOFIyW2js4zScRG4JZESLtiPFr/8NWX2BNkoejPnTHWL/hx5
uv0AEBbBmUmOaUQFyK3sfamo0KxEkvZnOrPRJJDCcbMNmXG4V5fYSLZunOdfqS1zMk3HLrBWIyrV
v6iWJuWPvsnVOfpPtpJYzjhfbhwtUMTMLDbjlr/rdx8QjDjfU0FBeNN0s8FiWPXZFywZFWCjBWHo
1i0jAFhxPGPLboFC5meCQt9v6vP+5cLWHi5bkJbfWeKmSy1Kl4BHSpKoDc1xReKoLELDwX/tYtNx
qy1mKDxYTEuRF6ZwcG4UMWQcDzLpq3PqJ9kFB4pZb4yeA2WotO0ulwY+IzIKBmoKWJDQfq8getSt
MPkDkd8RSJZV+7E37FAMHiTWznI5HMFZQjdkDcm4c2c5fGf97bt94Mnkasqj2DkirvSqY1YXDjsg
z8WEmsTroMxcCL0wyaav/+aUsEGqzuDlUkW8aQa13I4kC1//G1kg8+KWI63VopLF1mTRPmD1j8v9
272KFyVj3/Zdlw+O1riJNsJ6XjJ2WfOsSrFB9pyiOZsHqcIFcOE58nR0jN4fjZxFVOMQV++0CV7p
kjjEyyCGcGgYCFOctOW6yKAASFpnWLseO86ybS7YR7HqVTExcF0L1SaHIoS2LNmlbgs8r7fLLaXk
+OztZ/CiFUmri3h11B4IRdCOnPyQKfPzEjZ+TXOgjTdIJmHaDHwtGXnBm7cvtTaYnvdGHNsSLiQd
2+JjNk8q9MUIEKVz+O5giuYHVRTRzrFw+vztVWg90INB8eyhXglObojc6cTuJwxGyjTbMzw16e1k
4GN/+yovHxvUD5I7bIJMUdacilo6MU5+vAChbBqmc0gJ+Rk2J9oIA2X4ty/1sp3iSpsuse0RskW+
90k7JcrUkPToE0OjTcx+B9LC2Hep7+7KzGWnuhBeGxaxzq/+8rJrP0VYDp+Gw3uTJ5ed84hCiFqb
ZqYbny+LHkMjLrILgVEZxmkX7Hqv9d5pYr34IrmoRc1a0MHi3dknPSyrBLYkWB8oenOu6wf27GOm
3LPWqb6rSMxbKCOQFnKveOchv/wg1yvzH9eSbAdokj6fC0wjWiuN2bqRkSPOKGKW6JD4jXMhGtO6
NCZJ1czN8Nk1bX9Ra881wRf7DcjmuHnnKfzJVn/2pfBDoP0K3rrjYS8++VIcXdLBaXkMJuy521zj
VJUDZbZxWn6h2RsuSfAGHLwAXVqMbjgSqFscAhsQQZ6sZ7ohbfZN3BDIDN/qBimMPBLPSkPEQhb4
9jB58cZ8ev7IC2zyIOiz+ieiilS1hq4k7i3tYQmYYShdTEVUXQ5iBD7SSTg2pNdvAKq8M4W+nE3W
CyM1QJZMn3HVwz3t95GDhUus6+vQk9P0qQiwKs2WmR/evr3XroKEH8EBkRMmN/n8Kg4xuQ3Uyzq0
S+lf4VX+umr7P/4PLuKJ9S5W2r13sg4NPTIDs8dB6lvYj0ehipthqf8ZNIuWETrszX8Mn3+p+hJv
ZdXpf//XF8l5Lq/KR6vE/xKeQW/++b301tQOJRQLXlUPK3EcqP1KN7hku29sNF2JjQhWS5GGUdab
MLcX3cMAlJA8tglR7YfSkemFryfjvnYG/9vbD0G89qiDwJGSD9E24VU9/3kS1xWQxKwms9P5bUI9
f0Dpf+uOS31hBewKCw10eEEZn2280euvfJjzO+H14MLimbgypKlnEh/9l7d/12sDPAjYJ6COQtpg
nnT0WyK9bcr+mG8aUe7jGnSdHuBxBSUW+0UNv+KiKvdiDn6+fd1XVhh7HRKrRpOSq38yIXEY8omy
ZVDkZMBRsPPZx0aUf0cTGfPblxLrPTybbxgRwlmlng6AHBp4zx89hebBWBT5OAj86e02GLQIaycK
pKCJ3QHrDYc4Da7JAfSunYCI2CJYjHcmkjW698WPQMAQwNpGREQb//mPKECO9myU4Y7aMgpRXcpd
gahh45m65YQ9Z0cxkwFOeWn61hidfMS89LvtXIG4geqVkkbyIffRTCdKeTdoTqFXy1K5dwkBTwQ/
t0Dd276ZZAjBw6Gckpo+hTTzPQHqKwPGQe/qIFEgOsk6fXHUdWezIeYK7L7d/3LilKQutvE7B9jh
LdQk44ug1wNqmnPW2+9xfU0nr9HxSDhely9GzemmMrHNrjEp7IQlV/4+4j87MxG+3rLbNMGWYPt/
+3qvfLHkhxDPA/2RueWPRPKJ0KOi8SvNRJYAT5S4RcHTf5gr23rnrl75EDyep8VWBBIKhonn44IV
Js1EQCcYzoK6MytLMWPFKabXRrwTZypeGYOsJxYvD50UQuqTMTgBp2WGAZvddiIJBcnGnIfm/gK/
G600rOVgWE1BcwGCvYIBetbCehZpdMn2KLqQg/rrJ+wJphx2JH90aPb6e5884aZQcd4PJQgsQ2Rn
JBgs9FrL+J1P7+W4YWuJcIZGFtMAu9rnVwlkPMOZaxGmFFP6pWo5Vg5wo8ALWsY13KP6nYPAyzfK
9RxOAkhOEZ7LkynVBsjFoYTr2bJK99qmH0JHINongDj+evBwKS9ACM7/MFRPbi2lNFuoqSFvse/b
o7NuowElTUcnxUnzt18D1wgkcvpVAMaZ7uQpwtYCNsiIGfDG7Z3Stc+SQRjvXOXVdxW4LJKSswAt
2OdX8TG05NPIDUU0OlfbbHtRUZcKO0ioeDHz4fD2Xb36rp5c72QZ8iZlpn6ruKu2X+6UizEbNXm2
T6byPYHia5eyWOtYaC2MUe7J/qQNdDQagltjriYQnaTmEApLewGZx35n8/japVjoHFS4AZhQd33K
T76rGEDIJIAk07rt7CMInAh/aCmua7Mztm8/QPHyjaGB5yjjOx7lLQJFn1+rdCo62B3ahkpI8V25
NRpAO/NvGldaGeSQFnJYaff3uVxot2sArus548ZNVBRmTqNArip4bB0Cc3o0XaO2uCnEO5/kOmye
Lx3rj2RQCUR0gWOdTDRmx76x6Zlk3SmHQyWiaB9T6t6//SxePnZfspF2iddlU+2ens1pHiBLHSA2
4KMjloFc3aNSLmG5uaPeudT6VE9uaI21WkOq2PMiMn/+1Ou0dwvsBwV94qXKt7R2vM+TTxt0Fmvg
rll4Ig4Hf35vF/vK27bpFbIu+jaFneDkulGA7slmM01cyOhGmwrmIH0G0R2w1F7w4OtbXr4+Z6gv
1zh6h4s59+oz7NYADz3ksDAnhvR+Amlj0uT5JBQJRH/7EpB5ui6/Erk2le+TXxgH3dSYHQKIForU
nWHG9VVv0rFJYtJA3r7Uy4cRcDBjTKFw5iWsee9PPzNV5iZVhDQPCyMIHqXMAQTSQJ+2bTfXN2pO
5nc+tpfDOEC4zFAWTJAmAvvnF8waukWqoaKGD1ff+6M13xLQ7Lbv3Nf6u58PLjZ2FsEKpscgE6de
k8aJnBoyDgJfyr7ny1QipeupvqJx80Fndw3dzAF+79GgWrwJClr1bz/YV+6TkhA7ZZs6Ggfg9e8/
mb9yDLuBLPEvsI0OQOX0hO9gob97+yovP1cC4ChAsO8CF/PHIfb0KsyRLdqILqP8bg233Tx8RPVd
fnUKlpq3r/Ta/QSYTwS+HRZp92SOnBVUptEYkJ2YAXzXphy+e2bQfHr7Kq+cgClwIs5Gm0x5SXon
w2OpGww5RZ+FZFP1u0x2dHHyzse7PUcZmGAcxS4wt60N8h01E5SfyR1/dI72zxqUVnta9cgWwfSH
GB7f2+e+NqgYVusBzLfXw8Pzd4qoJmLTpWkkp4n+oFFvhRXm+e2iQXHRdoDQKN2o2pMSjvoPGfg7
g/rFO+C5MGqYlfE18SZO5gUmxxZUPobWLBvy+8QI8itPQ1Z/5x28chmb/RFViFWlzobz+W3mBPlq
FmQA6SgqZgpDSXKWjRDeQSXQYXDznDCgzEewI5DK7cpk+WaLBGoDqsCdATRx1xqFd5/QC9r++Wl/
5S69Sn8gu65/d//nmUn0T47hf1pG/++bHtRnf/B/h7t0PUv/9+7S/be2/vUvR71aTPVTj+n6x/7p
MXX/wUGP/gDrN8c93+MD/afF1PsHa4nLrEtNaW1n8L7/GRXpyn+Q7coC4GChMZmnOLnR/u6Sf/9X
V/C3bBwg1BywYlFb+5uoyD8H26fzMZVHXF1MiD4jlyVtncieTIdI/RNOvBXyVS/VAMOwddht/In6
IECSATYkQnm9kz3hOGCFoI35WXoNXg7vVZZXewE5nmiX5C42qb8taXLtQ/q8RF+bf5yEd/Pk4d78
x896Wof7szqc/lqey+qU4gTEB/f81yITjrIaoRxxgYIOZVUIgAD1Kh61UAlQyEJou8mCo5QNFKHR
7tUtMZQlIl7AescuTTXpcZxN90De/QM0VAscKp6rTRD08JTY8PSovWbjFytUd20qkuczhXajmbF/
baSdLR8TNH5bMmWdu8YH1R3awYpqIIqHHqYho58axjPpD1Pwq4ui6TYB+0Sej2vkNwiDIO7Rk5U0
aKPikaC4On1nNXhR/3awceIMNCnheY5Ng+X5E+rGYrERkxABgnoQbJm+JDdroKYMl44oRBP6T5N6
ZBCywh/TWJbmBgnfeEszhkUYuD3Mbv4BeHpzInaV28iPKeTHEnywU25n21Lv/GLG6/MdAb94tYTy
szEWsvk4+cVUjrWPjk4g946Nu66KiuM6v/0AUYvdtQXcdm6C7b1PnZjGum9FpJT18W87qllpVDJj
rceJeAXnJlahGyvPwCBqzp9NZXWfI8gpsD+ifNRA7XRyS6N2+jgNfT/BikGrQjbA3CBODiKHPzZl
j3QG3JakyMLYdWzPfITyo0CWmFjJz37hlIiA0CaewRwrqC4olApUg1NDwnrX7SKj6VXokTQ6bUcv
+eRB9f7aW+w2wOeVtx1cwm+9yW2AiKM0vHBwOMC9Jdx8Ij8DenPfHmbh65+6QHBKLmTCjyeba4b/
6gZXtDyMmzHwmg91OSN/DLr/x96ZLMeNZF36XXqPMnfM2CImzqQoUiS1gYkaMDrmwYGn7w/Mtv7F
oEph2euuMstNKhUBBOB+/d5zviPTT39/xd56he9fMZpFGCsF/19ftKOekQEUuI0ESARcJumh9aIU
TAjOJ+R4UBY2Om7dfDeZEYE2pevvwGGjKxgG+z6b8HxuDAMtCb0I5irjXeplnr3z2TwfVtw5EGLf
am5j3ww6cIh9QgjmFGfXAYLEiYyFCC3phAbreoiqM8Qq7cTIKOVHEjaDOmiOyIDkeDVHXQ7AENwN
/xEoS5qS0I+SJGeVhgfzpRgrcL1EefohhL7kukQ0BgrQzeEH06vG2RMhX7NEBo+xG2OyXDRQrhWV
a8xXXpOHsrYJcvKjGfJTYomdJWCB5Z2pLg3QEdfeABlij7ayvlkMgnn6EQN6hewd9KjuC3J5MBlc
JYo/QLGRWnep6d4SiYNzDytCctbkn8yB5mlIqu5e1OhVSnB+Ty762W7PwD/53IKyLqDiGJeiijlZ
SgchOgLEF7cp9BV2q+LeXAJfnygw1p/2+KdnhoLd3adxxlHz/dpRmEvO6Jb4IFDFYHPnVlzlFJ03
SD0FzFHL3UIS616rJREnJqYfJhjrIhCwR2JtpsAxP5z044VUkQlKZoeFaueQNfFC8JF32UJTg6tR
nIPgaA7kFylePFKmAqPemumQXBtBY++Cmkdl6kR5+feX4W1Se3RHXDL5At4Drtxy1orst91RarvS
fjHLNY7Y2iW2Nx6yusOYmKIKWgAP763aIqOyblvyWgI/9Bj0PsZVRPhKAhjVtUZxGFpExmZsiQsD
HxzGbTI00Dfj2CpK6zvlATPbztEn1tU3WMPxd+ebg3KgLhXWGkT9+3cnl1K1eYLzIjLs7Mot4WXv
ImnO5VmUy89lBCQFl2MbPItCGRyewUDldf0rURmMcTR2Y82waA1jLTiq80+lxK2dyybbu5q8nKwy
05tZQFwgedBMttPEDhNG5dTsWinxE6XkhTE0RU1oz/XO4T4+FY6H9jtAajdVMuJ1qUV9WaEi/GEK
2qZhopfpsmuN2yyabjl7EqonXC99MHsXTpHIg/ZW8V6/TFIuWDWyWl8PS8FGrwYNGsmOgGUCkCR5
lycXzrvNYhVWbSwvDUxVRmhMgX+JMgHOEBUC/VM/I7EkZ6WyrW5+Nns/+VxEmXxWqTSxB5oJ6lvD
Xax7OwcZ47WOPi8wZ13RBHhsXNV/8+aCEN+5c8EOrPvGSK7kcuK1/NOeTseH5XgFi1D9HB1vhszm
NMP/IF6m0I0GaZ8VZTls27IYkVxisXAWDj94lN3LJluaPclBIszxWpFDNFT7QolvBAzReWzAkJJJ
BQERaEFY13P/z0Hgv05KrfW7HD11qxSAVjghRYK+3funjkzomWwOwfaBDPgJfZ5/aYDDsmJb7svM
dfc8TRYYzkpiX3PjTds0Lw2izIvAxxNkLikyLMEgpDcyDnGuNM9xNBG0Jf2QwOlsL/3EfmxmEDyd
FxhbTvPtfZ1kxi7AHf2C2DC7wRKSHJQ3qDNcXKeayB9XKhtSjEm3j8/mXP82i/ttSTDSNPJVM3GB
MjfvqlqCVK2W6cnUfXDV4j5B0dtotqwtAd9joNOd6458+cHBszi4PwTb2ql3/YMEg+KJl3zdSC1h
Ios6quJrX0UQYpUErm9nd7ZXjjvysIaN9MbznFHoWYoGDzPJsyvYKaV9oYfp33Yo+Q70jehOCjr4
ECqO1ps0xSXRgPtA1zN9R3Xvno3BKPfKjJcTy7K1loTvHjI+ilk/pwBM8uvB5f1Dprs5MwpR0OSO
NQN/5QVfuDDqb4+UCBMT9dd0oeLe9KVT33Vm2X2tPCv+wtkZ1H6kyZYaHce4NC3EqCGpNvIVQ9tZ
AGcOk3JhE0m3zAJ/ryqWA4x8F03+aOXZQbFmXpvYjNFgdzaCljlAr59X7TcO4Cj/JHr0Cy8OtL9D
h35iwvZGtTm6at9ax6NI7yxoRdb7q+YQhya9JFB+ourZlnqNdzHdkpxyf3lk1G7vptib7luiE8+X
jAjAsJvs24oQCLWFKskfd7L2Wq1j5G3pl/NnYi7I0nNnabzGU9p9lkZ9KQjmeFBtib+zqEfQqYRt
td8aG/oWdQMSXyPGfCWLnGLbGQcU2ZAyd9kEWy5oUsTDssY8jzH11lJL/WNqDeOHCFT6EoNOey6m
3L+0DNN7nXqbqroOHOcqb8geAxM+rPBbhzDBLsnP5bJaQBTWItCs/osyx+KZwUMJ5rJ65JQ2Stzi
XXWwZcYnCfRwSWem/3TC/39b43+tqrv/3tY4tD9/fv/5ez9j/fP/9DPM4D8u0106GaaJ/tJeuxb/
9DNk8B8L/QkrED0Ljz/CKvR/+hm2/A9CIJogzBWYkTCl+r/9DMv+D9oQjhxr2ckOh07orWX0P8oc
GkH/df850mOwLHO65gDDaJT2K8rjoxp2Ksa0NCDJIzeeq4tIu8ttgGvjzNBBvzOXdrixvWmEtUba
GlEUxAPwkJ/9drP+0KZYV9v/eVH/+Q5oQh18yLBJPmwR2k0nS7UYsqnB5Fm1oK4Gx95e0kU4hW5a
C9Djj+K+vo3H6DIFR91fZPGdg4MH4DTHxC1GyolCFMPNKeKW/X5f55oCJDy2dJFzsfN9qCZzco0m
X3BNlUY1PSyVPkMizAmx6EeXuGCV2WQoNOBRiCXx+42YSU8lKnaYvzvOnF23YMcfohjg5taCntBs
fA60D7hFtDybxpLjfzORH4fXECAAR/WRUAUXQjMWXezjeJcnK2Vxzt36BbGTA5LBI4hPE30L3Lvp
px9e6ZImrkm0IMV3rdYS30vJEcJrPu/wE0WA3tHnX2ILsJc92Y1g5YFjewn5O0ttX3DaAjbw9wfh
w69Dl0oizEKJQAn+QZ2mSeDE+4PLPImJUGl0vI+g/55A+xy15hlhrJugj5CEQzvSYHv9Fr9VJE0z
wFfHxLvx4k7C6cWdOUfQKWdelsdgtNqdNKAwh75RZWdBLOUtAmUokS2WyFz2+DUtasveJyINt5kI
ThxE3k+y1q+HDIPJNE4Ij6b1W//nt6+HC6gvgIuAWe9MH5yqmws6iQKURtMSvF1kxsPf7/qbCOL3
l4JPpPGFLosbAg/EOaqXtYKmbEUzIU0VA0GpcgQLCS7ds7gqmu9xbtcL2OFRPaG6B9hh+ePw6lN/
p0QFpETkengELsw+iNR+zJVLrHpr4+sFODd/I3LJTA61meMUE2BZglDUNaaMv1/CH+4Z4yNgLBZj
IQqco9d6gG7X48DjwRHqcWmLHrsIaZZDb1/X5r+Ty739QEAQffTlDrAf3vL3z49BbQgXnraZnVvR
dWQv9kFhPrstEfZe/f263kYURz8NfVsa3oxrGFgdz3gTDAqGS3ZkiNBWVKjksEzsASe4oB0A7581
vhsRIw6vFKa5Y8c/F6cN7ujPQH5VZS0dxs8xdjvtGpl/jmA9f+wC7d25GS7cjYMl3AwFDHVnK+zC
SraYf4ubGD45fGtcnOOGYijVmykdSXN36hacKJEcxW40zd7Y0FkS8+oOI3m2ikvzrrexhN3yL91P
0zI7r5oQGYLPsF5cVCWnixB2DQtV71acR+M0ETc07ubkbOSkNR3+fu+OmhH//E6crVDN0yhlAHT0
O+VwR8z1UBzaSRWRNWzWOIB8UyfE2ejRecTv0z7jfQxkuHS9e1hGCC+7hobPbRvM2Q8N1Bhj6GC1
ry0pD8+dKknVaIjW8NzRLkOHTFFz3zIe+tISQgL8v/Hzb3+/iCPE5D8XsWpi1mJgPUkdnVQQpaDF
cAr2kbLK1N6Zy5GCMKq28GTTDTnzcLiRCPiHHhflFpOvhklvtLsW7+NmGaE+hk08urSE/eERHaC1
nQy2HeyAuUxOvIXrDT1+WGmgrIRP1i9Os+9fDHSjrDPrwprl1rTahZBEwFPf/f2WrIeV959i4oew
1h4Tk3H/uGNfp9qNowavGeAGj6APT1/JJoX1oJhs7Lwc+15txRb/ynfbu79/9odyad08aL1RdyHA
Wr0l7y8RycwIxhrLfK+SGYUNQa/QDOcb20niR3qPRYnChuCAeSLBfmNYhk63DKyGE9/j43rHN8BO
w4q9IkiPgZ5eEznGwCQlNJJl2CeYCa44CBAAj1eaVnsp3RM7858+kNmbg5Rm1Zoen+L1Uo4jbd0Y
OU3CWWqu3LMetuLqvWYmQBzGiT3p46OEXIFVjwMcDUWOWO/vc89jkzAsoIFdNOO2liNScsq5f/3A
8imUgc6qLHUpON5/CgAlDNITV5W0AYn1kyApQUjvRHn7x2t5mz4ilOXJPRrYTH7p+XPAtdC5nDeO
kTdbA8PQ9u+P5p8+hRbSm9vJ5b04uhYVsUSPNoyJHGjBFn4SR7wevtP/w6egcmIFZ3AmPpgUYoWk
gMzojVcPYF2c3irOpn7Q93//mI/vOK0ZziPoYzm3O8eOIGHq1HEVP8yUT0SJWdra1/zRQ07T8JzX
ev5CPDTtmry0Tlzg2xW8X14sDiHWW0+ffxwrm2vNHAdnPoeRhr8cSmb10BPhuS8SqPnVQp4PeHyy
pfqh3A/2964IHiiCok0UIWr/+11Y18ujr4JVULJ8c2xk1Lf++98qQYfGS4rDDLBRPdTf4oYJ5WzZ
NfabWZ9oEb096u8/i8MKJ1HuNRRnCsH3nwWwtNWA6SLSN5fgC297gCE2G0Zvw8nBtjfQiwjPSCch
Lpw2JwrWL7LoSlkVwEMZD8mXup+86Fbxt9xrsifo6DkcK/dqYM6Em5A4ARJc014BPOiyMrTHeWxD
Q5LVGHYD6JBQtmLsN4ON7WFTZIF76ERrndk+sKETr/3H+7pSGqFGitVngeXm/bUCZUymOTIBsI+U
1WVsSfxm/XC2WO4phf7HdZPyAeoqKjhB9+1Y7MhpodC2JG3JULX4OVVzf2XAZ9z2ZvCrasr+RM3z
8cqQfyIGxMpB5xuNxPsrCxxFJMbEx80zCbnYh9Af9n0mQwMlrXfiNh51UdfahIta+Ydra5cQiKNn
hkSiiD4/juTCbJewJlrzove7+mKpC5RVZCKQHGd5X1Thm/dDF7TnwsrFljTb/PzvL8rH5QKvN0Lo
QFIR4GyiW/L7i4L3Ox3thofXYzj9ZMZTd0h1i6G8aVca1WBFy3lRCGcnU+WcKNE/3nIA4HRxaK9y
5v9wZs1nWyryAuFV1Lm9AUdkA2hu4Q0b+tQNP17isbQi+ebYQZuSIduHUw6BlXlnZAT5ZsN3OtcG
ATsnXbpH5hjKZTwJnAJRNHJhyBuPnqEsdypTVaRXkbSAA9xg1L/CCWgRjaSFwV+xcsc6W60n6bnh
AvHaDFZpzFs9amKm4swPUhikiQvpgp972NRt2Vw1fR4QLzPp0fvEYuAMW9gYjqDjbKSAjYIyDknI
mqq7eGjyel9Uqj4l9Tj+obgujrjIGBF+ryDko4eEiWUtG2YjyF6X/IYA1HE/w1u8Gi2nOvEafvyh
LCkYjXN4l4L342jHJ0CJbIIFv7mBvfJMGwYBdSOJ039/6j8ccHjY7VXYg5MCqx2mg/eP/ZzQwxmK
toc7OTYviB+IGaLtBBBDAzW8HTNHkTMVjMNn8h3ITypHg6UgKYhUVF0/oP+xemLIadCbeCfHyiCl
PsGRv2lswra2RqnKaVsPUUvemmWVtP7LuE9IhsmiU/Xlh8Kaa6HxQNOASfqbPfH9tTAvJgma8eqm
L7IHiUv9WzcNLgVt6l3Y+DZ2lYaKpGuVPkSED1+5Zm2dGBh8/NV4wdhmfUTEICCOR3GDKrwRHDPU
4mgs9mkU1awXS7z9+6/2h0+hDMRtx8+2ftBRnQYkLcumqkTX2XBmqXGcnhMJL3YnPuVPH+OhhkNj
TwmN2vv9/QQpnaZDCecDPhZxy7E/dTOqrpzk7NHWL97UjbfIJrr72kv1TZnl+rHWBNcd2jqAAkdh
5qd0wCiEGCeI6awb/bo+gCATv5pxaa+jJSrcfV4sIt632ai+Ru2IoT8h3xukKeKnnGGa5z3Svx77
7VxH9Y2IBUO1sW2i6zSR/VNVQCAAJTNDVonRBF0veWv7xJASj7TpprF4IXtO9+eOFlptorIZX1Vt
Ld+LSqdVKIc3PusYlI9FTKSJjJV3yj30YYezV28WfgSKBP75QaiaL8RIj1IDiTK76amBp/VrSD3G
g9gkHobUgvlvdpXeBWmQvBJHBRCILaJBSLaQIvb3n/TIMbYuzGsNgUmbLZcfVZhHP6lUAbRgR28s
8x4XyWaNAIa4QqV66pPWjfv3YpDdjO2MTYD3gGPm8QC9nj2Ah0ZBZy+onOEKhRxGTHJ46MwifvPI
WF1BFZvWs8t5V5uDm5FUrzzzTgyx+fBvL5t1dLVyUJRy0RAQ3l+27pIomj2z3JgTaolN5DCx4HmZ
yNlziYv91XlOpw9sUEW9TUVqXjK+kHS8Vt46W5BIvzD/INWsr43hxN7/8fngu2Fs4OzIcrHapN5/
N4VnQjZGXm1ibYP1lHMa7eBcDL+cOq+K87QJChOIjSCufZnRK8EG99EW2zIyLuuJvKoTv9w/Fd7R
T8fCwr3isXVMtof332hQg+zjGGvYYmYdE5xoIVegDIpF7mFmkprHCcL/ZJFqR4A6m8VL1gNeDfPc
M14IKRWP+NzNJ7t0s88qn9udDsrisRjMhQRrY5iepOj0A32q6CFybJVvrXaW12aRkHJARc0Fadsy
HuyoM+K7qsvnArEJmUhsKVbmXziTdq5NiqiveSqNX8pqmUKPpkPsHwmR0Re8GuQtm3XpnXeyD75T
Pfs1W5OtURP5i+3DKqss0oCCxIPeRb3E1GMl8K1D4IuI4cgcziZamdCjC/YzNZvp80LcSrSzBSn1
sDodUu4sVpXnKZjiZV96Sfm1cVht6EuDWQ0Bv9LtNt3WG/eymZ3vDfNuFjDfZ1ib0U5096UzCyYB
IJ/tbV/5Wmw6R/XTFYkWRQoldHa+OmQsrn25pPxiM8GAIx27YrwI4iJvwtEkgDHMxj6qD+aYkGaX
NYEo4eDk5CFi/i+9bYTC8rEry9k4pMRg3Q9W1T5GKDbBMDCfQ3CJkBN4XjTkN9he+i8WmwiZdz5o
V8SB/Vc/mbMrqEbJGos9+FCG1FJ+F9otd6aa1XyO1odhdjBUbrdts6a9DKwy0JsGEu7Ppjca9J5p
uXwBjMgjbI2xYZKvZTL9yFHREOjaFT4hmEgHjZBywXutnEV/mqco+ORglJ92/szKT4d4GL71kucH
0F+2wFzu2+IbRrV6Rvy/LLDJVbccxkH0NzSUyudkcrOnpq7IdF4DS8jqHpjZAYS2AQlJmJMwiSza
ypdV0mSb3rMidU2SbqC3WpvuQAM7GkGhwq+8CQiZ9XdLaVE9iKIaWqKrLDVvi7xAh2zgwyi3jocI
g/TwBrB0G3VcKom3gQRs3iRk+1oBO4vqBu8nAmaDbjj4YkUrNm81DsjBdTeRTfP9Ftyex4jOKpV3
GP3SddHJGtCJnabN+82Kpts2eSYZ1I1OKkNPADQO8yK3RnSRaHYUvMz15pVkfvWyF9vMEQtkfZhZ
+RbTakdeQ2A3ewO9jN5DLOwf6tQYmdioLHmu2roHhLUs41cwT62/cfFSJvvB9aLrKeLEdBUtWfI4
mn3SfhlG0LVkNteg1YPcHroN3ikghVbil5BTvTqbwtLh/I3wTtLtGLVLjj297voxhRctoDOZFu/k
YtafCi/h+E6NNv/Uo+9d5nVnFgdEvONDrsoWIn9Nqc/XUeVLP8okRqLrdVex7wPPl6MyzmXqeC8F
cOJnXftwa9caTDDJyHpebNk7ePKXIH8YxOzal/ns9mZY9z7Mj6kmHLrIqUXRtbH2hug5ZoYWnTDJ
CNODfkEYCk7Yq8f5LtW2ACXqtYN9UdeFKS5MRHz9pYgBSDUooa09ukVIiPmYl/ep6UfV+VQb2t3y
BgfWZVCCd91wBB4psFvO39um64MDyCTCypUu6mnfgcseiEWzSFtljFBdz4VmQgINPIAR3w1Kbolw
F4dAxtLbJ1k9ETPoz8kPHTcLQG0/6vaG23gXbhkYVybJ6Dw3RlS/crZCUxihK7gr4pHccyY+lMnE
Wpvf4wTr6saqDQjpZUtlEkqmM9dTgdB4zkfI0ywTWbCzEAdrJp3kwO8H30vqc0F2PeBBf1T1mRAq
fex70062TqkY8QCazq0NS/hEZC3gxjddFozjWaWFCmckviYEsLxs9nbQIkWJzMZitlwP3Y80wOSH
WHCyWtLo3V6c6SYXza6xIBJ4SzP/LGAPF3uv761nu58BzwwxOYCoUdMg23TaDNQud0FxFlW7jFul
ZvL0ODWWQ9gv6ZhvIb/Zy13pt8nr4BX+dOVg2B/Oeh8K8AbtOTOeFNAohG5OyWQfD6La5oJtlwTW
dPm14Hv4rE2Dg6wZO3EQapcJlYSwGhv+YYSB+nkRmYP0T17TiULPE42XXguWrlHiRiFPM7z41ai9
V+UYhzJmYpSRMaJ43UPD1TuQSaHKh4cy9e40Ib3+yDPDfBJC423a1C8Y2s45Ne6mPP8p0myP2erc
GcXGZ8yMTPomcgVjywA+q1RbxbPsO9UQujo4eAnRm4166tjc7bq7hL6afa5wl0zzeOm4xWvmydBp
q+tFvlTDQx4rlOTfZd+HSnrnNn9DN5M41EP5UhbIP+3tvdTPt6ndSu4qzsXFAlKY9FwGaQERWaMJ
O1dJzP2mjsQtxGY02IlMhvuoJJ8ipEWhz5g1XKKO5s/idPCEI+Ow6IS6iyNPb1G7kvXZPcAV2Auk
ZHJQ1XUEQhPKCb+S532ydXFOYuPCFarPfds+UW88dAbQXQDu01dRei0oSe9QzctXN3F2TRdck1OI
Eb29t0z16BjVmZOOM946896v40+Z6507+aMfI/4naXWQbhAqdrpLnrJ+V0+/8ia+8KjeI0WOpor7
R1nH13YCajjTE4GYS3LeaWIA4nT6rDp5mEaDHGjbO2+F9Rh12TfZwtvo0YQVY30oJ3MfMeQh3aHc
A8x41oZ5JxN6bwnTGVGJzyZJi0EACqf2HfrXxtbjMt3QWMxDXyWfrWQgEtGHvj2CfMCCtiO4miDN
5c5VzvMopyejebaQT8ZG9j3rix/YeVWou/KaaImrOMt3awqxH6jbqNAD7ld5nsXS+uqn/PAaxIll
TPpCJuU2jubLaeGIthBQYIofFQ/QrimWH6n1dWJGPxFHDNf9qeB9CtHhbxdXnMWD09xP4NxIl6eM
i3nXp53wqx+2zM9mPd7QEjg4TeOgWM1oFvTti2kQes489K5I27PK4anIYrERy/DKi39b+XNxXs1l
BdOLJa6p9P3QTk0I2/57PuQo5FIjY5YKMJMiSXskyVXl9QRt5KoVkbdnY/afiGv27HMxOdfIKM78
GdxopK0zv26vchiIyvOhYNtV2Fd9GsKbuHHh87JhW4xRU30WUcccki7/wbGXvAzV/sxM9TD58sVr
sZZ03bdxdAni6GrCCM6nGNAgkw5bRJuyqiJidh39xSXd9auJOuSHMot43mB9mYdQUIPEoSJczAgL
nB6fAr9GC+5wVKSGpMAKtn03N/c6SIgb7frEBF8r5tkDnk94x8bFMZgSX1OkoNoJGngmulBCkkzm
tNyOUY0PpE3G/MbzG1fu5obmWWGte0tnIqLflDijfwZTBO4VutEEsq2txKHP1kQpiOxya3cyvY0C
1KYbxVsBSXNl7RK2vEqQAlaDV81M+1UITM1hb3ULbhQ1zjTqqwzwDepdtLgzFjhyU0yrGTlZKICP
Au/HTixtL+Etk8SwM/ycIHGuWn5Twi4/NWYCotcl9mCfxwmN/77M2mmDLDKKkIUsk79tWt//QUh2
8rW3x4hn16qaT97Iy7VtihzEeevnE8tXbzgkQ1gz/m76QhfEKTTI6K2lLLb1nFE25knfIpX3FmAi
VZQT/dbB/+O00zYNGR9sLvc+AasL+yDOUINY1iVPJzyhuYVJYmjcEenPNDjpRtqaMsTRsv1ed7bm
jyjfvQ+chuB3lA5uH7ZsJxq3W5UX9J5rOe+TqZ7sULk+oRyRTWzKZLbk/MRNMdrIeAJv2FqT5WRs
I9ikuIu5mllzi2y8JLYAORgUf+ueuD9R3TQssPlGUKN5O8ZS8WUAeF5uLTF1KhxJnPqVlQ0/X9UM
8ZM9khgQOl6RvMoAtsXOzXsgwj0GoGru4lWdMMyMHyMAqryNnUDuCoXu2vMVW7ub9UaLBJ6IAois
8QKk0ZmQrNYe8PcNvqvubmGI2exSLZfHAhJ0vEV3EX3xmq58dchiNnG8lfIbRieYwORn1Lc2bfHr
nCxXda7GRVGWWYStbNJmHewl5RBke4rNMb6oGhXMW3+IA/SwXYMugQauuKIX0vtntDzydhO7QXqf
TxJLEWT3J1h14w1WBy5+NnruMnNIY+0mT7DJu0qQmeGbxiqSWxhNOVVJdT7kkfmVxdsEuCkXdnZ/
GCnfbIfYZ/CfflSGTVTH55ka0+dYl9a4NbLUGze+cpHSadMaXglVqO5Em1m82HYBHN3M1JeJAIMs
zIp1uovWBmcKANGKqUhc+s9ZgFAHefTKSirIDjrvrJW0hcxAXaa9S2qLRSNLbp0sSj+RGT+QYhTN
zG1Td8huI3cKiK3PZtc6c5Z2vIFlTSzQBDzzlXMGCWe+tfT9vh7z6loSDw8DVRnJa81/8OwC/Vbs
wT4B6Q2jdlrxqiLVsemAwHrc7f5ORkX5bQkKhn3jYJjfKjeqrpEhDTh4RoN+mkHh/d2gcP6USrVw
MvCU9ElstDOgDhG2qw1lZz3g5jDf3Gkcxfb9MkgvbG1RWHsD6EiPcWuUHcnNqMjP4hr54p1l10Sj
edMyfKc5I/qtr6zgsxtP5R1/7fhSyIqjPBb9+XNCMgQHbQ6Seeh3Tf9LNmV0T0RG99K3rowJRlrX
poymAYeg2k7ckE5RMF5nU5+ctS0Ze/tYzHG9awliABsMgoziBfRszpism+vtlNok62Tm0mc7cN/p
k4yT4gm29cKqQbwAS16dt8yxXHWLIxyQbs/z0hOPEddNWNIqgCivlnYOrR5COqFsSb4bCQgiRarn
yE5UoeZ9GSkDoNtzqOEoURONwJBe/Jg8kYKRd0T7VNU2VA76DZ7YuO6QXCx5hNNYGxM5bh4WSPq4
htZym5vKxbHhXGYdaJyxHfF+TOh4LwWnVOYbJE8VYkgHXlw5fE/1WJbYrRynwEFF5dgJg9zzYoB2
wyOf8YK3pJaymLeZ/o7QnbXfx4hJZZsTy0xFa3Q7iaVwDoly1uwqiZPczXMZP8TC7R6rrk7YwGI1
2Ts6FjwTTdazcQeafse2J0+h3yc4uy0sIDo455mDTO4qXYO2n/K5A/7sJPIA50JcyB5l6FZ3npwg
+CZ+t52WIL5LvBlEronTmCkUzPQAI6LDWaQLKrwii230l8geLJvkDw4j2zoZvWthZ0a8k7LxXprS
LaMQJTS+HtYz8nnrVrwMbrv8NOexfo3iyO7OF9141/3kJl5oAUL/NCdpYB6Kue0/G1QShHl2IMM3
UevWxTazvbg5cIheO1x4I38CeyAIAHBYOm+nju5TCLd6eC1YuLI1jYI8R1s3QYq1YOgE9cTQH6xi
JMd76pah2/nusMw72qg1djnDxS9aRWX2iXaALS5mti4SOxo4sIfGyxfgPXZ829Pzrnak21PcJPFo
kT1Ay9/huWL/2lZDHN85bc3D4HYriD8PUisl3moZzHAwFtLPk1YWz6ofnB9SsMmwPw0mNbNVs4ND
DWbNW9LlYBMp8zXLA2XtPD2uyWYQ/M4GNeff6T+615bOe4B9Ls9UTk3s0mhsp2/+lDfXYxzQZEJO
+KYHIMPuX0pr2GIYGa34FUZ7zCGOBm1mtsgqyqC+BIQmX2pC5q85HJ/QRnwYpfAhJCwC2WFYgVVr
/fe/yTDkGDBFLjmdcvRMifPgRuFET07MsD/IkgFsWSBDAK2saA6oGO8/xjSspKXVU2/I3aivZ+l6
7ASd/VRqOlFmUshLcqGsW6ukrU2vvdwRPIy5TdMnoDq+wEoE8r7rOOrZFFV/b8J/mJ2+fTcsneiz
SV857irrsvJLRTm8mdf2lUm00t6povvSz/SJwdWReW9VayKrQ40IchLfBIal97cBhURmkmYEpl5P
WITmrvV+BZVN5QLpe03LqLbOWuBVmdvvXaA5m37I4xcMb/jFUEw74ej14qqLrXk36Ly88HtBvyuj
6VC1ZvT49xtzxIP45+tyrEVJbiErZwj7/utqZuEw74HSGnaiztKsYUrqBd1et515PqRJu09wDW0z
FpwLly+/o5gYLlIRPQWKxEJQ9/09LaqYg40lrv0uNiHEKztBsO/7YaHlKfTZH55mVOU8PYTBMgs/
FpRSFZaGnNHh2FiBf3ZlEbwmtexPSJf+8Ckm1nCiSfkJETAfPczCalWdpR0Jcn2UXtHY7bdYFMb9
3+/+xwk4Y3zabatxhakYFIf3d5+DR1B5aVVu/Nwsw9oHI4aeuP3hKNNkAkLEWalLb7O0CYtqXbnX
jV5778pUcIXQyhp4cwk7zLWsDjjY4GsvkbFc0vRLLgoYMYdO+85n252nHdFXp2CoH98qvj3wCaQc
aFcY6r3/9mlldn4pmpK9m9qB38ugXYk6sHO6fyuQX98qDn9YwAWiJwyh7z+qngjU6CdcHvVSefsq
jWPCYcglmU33O1Gl6am3eF14342hXNhCaKxwFqEWxZX2/vOgfHGYl0SDuU403mRszrvKtpsduoL2
HGmOs2+GRdxPHp5/WmUEO3hje2BGre7+/ogcC7C4cOQROEpWyjV6/aP3U4B11R696o0jh/6nkXUR
5pap3Lv02Gi7l+4J6cfH39RGS8qgkmYPw9NjdbKOhJO0M+enYGjLW5e4iWfljt7VZOfZiX3pTx/F
brEuzetPe6wy8Y2EvsJEY5o2dmXjvhb9Jo/og4dlGpxyq358oTnQchuFS+4p1NyjB4hTkrYsNiZs
MJilfEzRWxJwkhMv9J+WU5xtPKFsASA7j8lQhH5kfmalKGd0HzmbMnCiJ9LpGOCRU7lgpMotOWzY
RHR3J5eBNFHpIAwJC6awECBybVAD1mNzYy70ygklU+6tOfvuw9hlBKKS67IQToq75ssyCnc6ser9
4RfB9mUiF+C3R0p5dJOMOk1pXiQ10gcM18DCjZu0lOVVJAf3y799rvnrffRuVAx4A46xbM0YtXL2
QT3WJMackQO8/G/KzmxHTiyLol+ExDy8EhCRkfPktNMvyC7bzMNlhq/vRfaLgwglcrVktVQlE8Dl
DufsvfZRUsDlC41+ZKpViffv1/vYbTGts86tiZlJUAZVxxkQNgyBJ0MXdi6xh7WPV9V+iGdMQxtb
jqVRfTqDLIBmuutsuhAG6asZpG+VwVIa1qkMbTanADV4SUgXubNqxTqkTUpZrQvbF+gvJADmJNdt
9fbPhXAmQh10fcayH3EwKJ7OYTon8BYxLKDKtsh/RYni3IB/cigNC8nQvXBKB+KhyPgmA6lI5V+1
E+rNbV7Z4ehqfIYwV8JwnHyS5OyvppIUI52VmtwTkVu0RGy5DCTOjZNCVT3RaRGQjBb9Z8UROoEm
LvTKL229MY+0O8FHG5NI3zU2E5arx+k03qVxQJmabj20NiuuCEckJxUmoOUkBNh0aSXFaMHH9i5q
LZgfS5DTi9LNCLhQwZkgBqZClW/Y+y4HVBRLBsnoMjVCxA7hW9c56p95CCioJ5H+tYlF3LtBlzR/
GuJDf+IgT7orZCEjkJYUX+OOZA/zN85NJSHYyR6Fp3MIdr72dVuiilzCOHbOgikie7YLBK3xIX5v
1UK8U/1oH0MOhbLHKt++RV1LUZYk6gqpMCU/dV82iMNuZ21i16eGOr4lNlxK5AWF0Tq7LNOzb3Wc
IkMlnhMeozxz5L4aqC5L2PWiTtrFc98em4pAPd2qy+dwQgLmV0oxv48Jen9XaudC2cvTQEFUtQhi
xRfZxxTMOU26k03rm9i2SnyVFX34QnJnL9EITug5it5UCBlEytCTJm1wnK5HyS7cTGoyXkcRK/fk
yqAJmYp5DD0k4xlkoy4qXlLqYdT9KFLecnfJn7jqqQO2U95LftPp8R+yqwQohxFQShuO0WsSarPi
psTW3MR91rhpReQqEXI6DZcWpgsRFoWV/VQaa97FrdG/fv75n0//JIOwgCoymt8F0nj6LYhRJegw
jjD0GGPj09pXfXPAO/b5VT6m99OPnr0i2zhEUlyI9IDTy4ROn6PmoKebT6L2GslMf0w8n9rNaSwe
OY7HfjtnlT9KwUgqUVx7PcJfFJYVEUtpbd0kZAbctWy1dhWNVOKBm1C+xQKHNKJ2Kq/N6/aag3rl
CakUXt5TLvn8Fs73G4iBUYotGx8bQMLqQVVBUel8ZfkujwuD5IMk9ApV1NfgbGjBaAydz6935lfA
lIPfiisyUrnsB3/jr9PpQBpdZOts5RRPep6vjG/ZPj8EV/Of7JoALaD2G9e7MC+z11AN3Dkg/Pl/
p6+oTIq+UzuSjL3vx+ffz8fjwfV3V4PrPQ3uxgbnfNBxa39darWc0j3L5brnUmPzFYa+SyVw624u
vK6TSyw/4a+nN4XMovJyNzf71z23cjgc/rzcPG3cyIVxvdwJ2lbM/Dar2kqVVQ5yiOCWywi/+TLe
kt712F8ZN9l+3CEn2TXeeEBtcqTRTzreo7R33j9/a+cbE66Nv5yzGD/hzDNHaYbgZxmym04hEp5X
bx/5lqp93c72xr2ev7T/X4JsHTZwZ8b3KiDioxZQxiahhl8bxNhs+p1/NTqwGYXdupDqATvaHMBP
35sqcnq0Ux2zT4yzVxEWxvNENpovUiJFP39259JkrgUqhvGOgYOKwuqQOZvDqE+GgOU2md31iFpm
V/e0MwQSlIzWkxx+hwg1eAlOEAJt1ajz4PWbG8ivS68Qazw0e5P9N3Fwp3dM+46eAS+SgrvS+jQb
hyOBaW8OSU0bR5hLb5B2AKOEohpM3tVgxTSWlCYoul0CKfeITHk+ViPRjBuPdTl5reZ6hTFJHYIw
UBwkq4kEoY+t9tZCipvzvjtYc0ig4BQ5LVoeTer8UnKU17JNQ4XTfS6/A7+yX/K8il6iUFcJdpRn
yguG1aBUyhZhikFfrXWrAFJPWIr230saINXx7wEpBl7rrLEBJD1OEzqkpQwIQVtZ/J1WWYmNh3/p
qaBMtQAUM1dQoDl9zZ3sNETdkogTzX1+G5iF9RRpfeNDmUi+1IxPDanD2GwMrguvHDgqr4PTCyeX
tUXRBgLpZBolTiPqjKMjrMqbrCDfuLdLX9JSrHFwklJRBdd9enMxiagDfUzC+cAugdwkEHPchbpI
OJPlZkPMplpFqh9oYY6rrJzRGNtJ1t8QjCE3G5/1he9JxUSMVolkp8Vjd/pbpDhtlA8tM4flhNxO
ishIVAkqVevI+3yoX7gUxUGshOwrKWp+qIj/WmQ0RKajEinxTm0sa1/UKA5RRgFHZAv4+ZUuPWH0
yIxQanw4KD8SAv6+FCIog/0+c5U2c1ife4RZ2KSrB4maz1PS6+FRnaP6Ka1nkxxMlT6jVDj3n/+K
j8Pn6tNeCn8cgpmrqIestnGVOaK4Iep1N7ap2bgTkto7o5x05ONE5XqSHf2px0jzwzCVD5I6xE98
Wvqv0SbhGNWJwh8EeTdljvW3zPRjPeP9JGx6EIeg11jB0ISMPdYkWssJ7EW/lxd9Xy6St3FSio2H
euGT1GwcFNDLliXcWt1NoAg8wUsAr15q0xt9DvuFnmXvapS/fUUenC8AEKKNZ3hhzOBKVuwlGRuD
8kfl868XCZ4fyfHAogN4A91GpyS3TScQ0tmRvHHS5VB9PhXTRKH1ANEY39J6d0/rOY1yoHDuKNDX
uAYZNAOZuZxn+mSJGZH7ko56o8uI2xB9p69xOju+HGriqYgaB4GA5k1OJ93WHUGxbH0BTHkFzMHX
2VxUiUaboersFlWvLxKo3Adsv4q+k4NSM65D2Hg/1LRUflSgA3+WuHRyX2on9b5H5S5xYjRMrMYB
HUfMZE0O10MpZZRq45h/mchOZltTQR1z8RNLj22kDMlO6ZzsHj+r+U0idfumTCsD5XQgj/epmNHr
97ZQ7pGHh62n98Q57axWVL870tCJQ8/VEoH1RJ4r8l6pytyK3NfXrjWUr1BZq28acnEy0iurmp4l
yy6CPaRjtfOsXEjX7VDRkqRjkBCCHU2c1mn4PmdyCPFrYR8HKHiGmujlbpaMhzIFIuKHOuHgbm+E
CE1w7lzTnUOGKcJJ3EEfJsceJU4VeNNkN3xN9jA4GP9lfvVSeLGxwmiStSfGHG2fk6OcIrraQrpn
OgUtG0MNl9B3VN8BSBCLNKPQMEi1nRo4g04zTPedOZE4Pkk94vQsNQWg3CxM3uogDyePpnT9wyxz
qBkAh9PEtzJMYq6ZFfytTjHORP+pRn2LYMqWvGyu5ciFrtfCciU5K95LGRG5CNvggDKCqn7c2WM7
t4e5DhEWIm6fS0+hW3A9OHkweVVl91/IDUJsJdEnEx6Y2OqYGYGV3+ZjD6KKLEp6mVRWf1EjmGdY
oHKceWlrRnd9F5vQUHGO3WXCmdRDgzQLCdwoI4pGkmr/jqi08G65tVurktXK17POYayOaWMgXOx7
RJPk0BBKO0glUga9GnV/klP7F5WiMb2u1alWYekiwzG6apJI+whHw7elYX6vxhBKciv3Q+zFtIUQ
DwCdI3y6iJHQqiSdoBJRbaoYg+GED3I7aQxiPdAKjJH1hNhGpYvpl7KZ/ceMQoVNlGkhufOwPOrS
VPr2AICuzX1IimO1J9l+FH5XNUJcBVjKCLKh/wfXUjhi3ufmAHGvK8revJpxZVGuaZRKY+RHiNcZ
iMTwTlGp3cy9pLeekNPpe02gb39tqFXb7aTUzCyYk0tvCMZ0VRFc7EQYmUWhU2SqM8eAJh2m82Hq
xxp4IZKN6p4cejSTDrrq5CrNgwF5SyVZqpfWMSm9c9Uj7w35fCc/qe3hJbTKEAx6T4Xbjet4uAVq
Z37tWbB+RNhqaj9lkUSIlTsCbjDaKsWXQrPTHpwuhaUVj2qIeSIOf8WtXLwOJch/z2oUo7zVm4GJ
spY7BktiUubx7V4nwtGug+CnPk3tW2OlKuDxYbB+C/YduN36Jh38Am3q7aCQu/Xe27RegRTS2sNR
EDjvCBkDFD198mggsPkiaaP6HOUDJ255SI1FTUqOuWRnM0ILo1Wuky6vNT8l1fTXhJn+C7qI8u3z
tXbF16QBuezZYJ0CNWMbg+zodB/TsE10qp4NY87X4MJFLTwTA+9RmEihRmk2PTVN+gONAm2n2SiO
DeSAMJxa4SkOlphlQl1kB/3z5z/sbEvJ7yLMlZrY/3uNq41sa0kzDnLIsY5c2Q9lkY0vTbMJyzo3
xXEZW8eoxqkWv9MHP+evdTKoY5DsUZKTZ56BVZz3ge5gqJRfoZ/vrcJ4yxPpNrFnKkoYxiacKsyr
8kOd9xtb6LMFmw37kr3kECiGg3QNg4YuZLeDiu2RdNfgp4OgxCvKubkRJtrIf3207NRh16FIWAjQ
1rJh+eueB10M5PxwKaeprEOlZcGfqrH+WfaA5Jy/HMe0TpuB0XV6Fd2ZOFshnsJ106b7QQ/11zhu
wo1ywYXHBodhOf8RCocpdnUvNHLoOpClg5qsT9H51PMeafRSMbW+//NTw7RKO5LGpMnIW5Xza43A
RgtT784ApeeBsJhIf5E24cPLueFk77swuYEOc3p2MCuu91Kd0YDjifF+O8xfKC0h+KW7WU5n2++C
IqhcaLedYFJH0+BKyYStVDOHcjcaQ7I0qUV37LSFrfLPd89XAiGBciFFwjNwUQSnFYfuEu1cmJSY
B9sHIGbtP7/Kx/lidfdUcBk3HD0oda0HjVpZVqyWi3B0iJFDjFH6wprU7hrCxPaFXBv3KcL7J2XU
sPAWBhEKqtQSp9tUxqOlZMkXng3Ka2K7nVctg2PYL1T7z3/k+cxEYYMa7YLQXGrNq4EQzGNSJ2kl
dk6ITEqWW+ybDiK/f78Kp4VFOAS9hcrN6eeTqqLB2MMW0soU5OgO4bFyBoL386tc+HwQyqDI5B/q
8+u2rNGlZj8kSrWI5ZbkdoSoRh6LqyzQi613e9bTZ51ZKBvIf3R6c2cagqAsI1US0FnwaD1GqM7e
Eng4XzoiJ65U/OCPXaekT2EQxshfVBNJcmq8it7acrl+iGpORxm/BNAf56NF+bV+g1FFxzCIUdSa
nEvi6ymY5W9R2rU/dduMSeWIurRxB0HixA0nCu1NGUQSXfdmPGW73G71l0Byhi9KWmIeKNJOdjO1
7I5Ta42Rn1Hp+49irtB36ty0N4TFVs1+ngf5V9oOWKqQ1VmEplR5/scOhlr1yrCMJDdGJvflX18u
xzGqJXRdFHxAaxFFmwCOVwI4xJSpE4+lXafnkajfCNazNy51dsZdsmyoo1KcgB2Dc+d0tBpypWmz
Qbd10rRYva5lFX5MlZT6va1V9ngFDrGyIGRh9dgYwReubC1wHA4JyERQC51e2azFBKwGYeKIbfUN
Xt24Q5jT7DVLaN/VKB33OtnwG7sm82ySXqi7wMVQTYCJXzfqaaU1jCCKqfbcYNgIBsP4ymnAuGuC
eGYrkaYbd3l+xF7K1NQOKdHCPeC1nt5mWquxnOnoUNJUES+5PWOwVABma3sR2p12nEItrNF4a9Jz
pBKuQs2zyl4sp+iQM7dZ9BgPASEbZSVxIlC6SryktAQ9DSMSoBUSE+SjQn3gP4KT6+eI1YVcZSOK
31F7OpQMUfI+NgAY8IgUttwjpZWWIDkpyfyKRI/0dgxSU3KxkgiLPm9F21HYEsYSU58VyZNjQ/8j
WVNTXCV4SXVXEQ31Z1FjcorndPpGLrIVeRVkkO5qJNggBBhqY/38xw+Cet2SbklrcFGWrjd7xAlM
BeYHdM1z09xSPO2uGvTke72Tt2p2Szn9ZIohf2pBb6HjQY3C5Hr6voBtQZSM+25X4DK8S9UuwfMa
tvUVuiZx1Qo59Abi8u6DMqWy8Pltni1QXJvZnN2DsqSnryf1wBRSGPdzt5jmrWsK4FiLiZo7/uNV
wIIsTUoD0g+KmzV/3oDRY4Acj3f4e+1dRuH1Ppfk9NfnV9HObobKEkVAAyEBn7m6HvimTVbM3HIZ
QKH+7LVetcvutCMQQU/zir24c+6Vg/ScXo1X0R6k6N45kMDgKz7Btj7WdLe4m65sH/XzRoXtguD2
9JetXnFdWR1RF/yy1LXczPsNTNn/jQrefUn3sQcKYOO1XqBFnF5wtSUokSoN8XLB3P357B7fd/7T
0+dP+2w7sHrYy7z318kgnkLcRiNXkKzWVcVtCBKXAJLPL3LpjSICYxONIIxK0uo2lFZrUZlR56sQ
L/qW6ClFaM4WW+PCrdBloUJPb9tBJ7m6laTBYBNBE92lUkaccmvIezMZ88emKkvv8xtaFreTb920
WGgXLazMAsRm7fSppUaBIxcSJJa7ElNCWKOIqXqz/DkEs3md9yM2dLBqzauQ6nC44gAtbQ2NZZVb
/wQHuguNEQPK78dX9NeLw6GEwq4hQ7bv60R+hmOSV7umU5Qlas0IgAVIYfQ4IFF/lyLNvJZ64F0H
Rw+FX0F5oCkVzvHWB3LhRaMrtAj2XNJHIbCcPpcysruagCaii81G/zKhTsegwTO8MctCUEHMdf2/
ocsqQuG6ngKvGSqZ46rxgAWkk7X8hxHJ0zedSKdpN01R8ePz13ZBoAU1f9EH0Lta+pWrlihko8lS
euy4SmokxS1qKVxdTaPAnSgmHJZ472ID36cdWCxnU9P+MsbAzvyCYD6OJE2T/hC5HT/2fTMvrlGy
fig2txWEKWWeD4T6avkOWhq4C0sISRwkh6QF0w5s4UYVKSye6ETVbIzGj1VsNRZQvqMhpJpDA2WN
5C/mOeygrAC8SVOEwGmbandF0PS/6qkeHinIV8GuJ5aio2E1Vf8VnK1imOSV/iJFo7kEO2ujrxHd
Ix0NJe2eIxMtimsLSOK7Amu17n/+Hi40ndjBcR5AgYIHw1ofdei5i2500AZmi94eEPj8Yms5y5dV
pC9N302Y8WTlvzmd4+8RTbY9bAI135iVLv0KjOY0FlUO4Cw4q2NdVwHuDCFP0lwcHOmGsj9GiaGf
47dMo2q7S51s+j62ZWqSozSPg5/Tvf3RENn8c+N5nO0dTBop7FLofHHSpntz+t30GSTwFKngzqhb
SP5VW7oqyQo3oaqP1wkb6aNiC9lPi3h6bJNo/IJYH0+/kkoPVhEE3kDv1Ef4OV3Rg0n3jhKYB+Sw
+l2LxndjtC3T6GqwLSRzTutMtNDXVt+4DEaYbjvfEFricN+JIPe6WtL2wMPCHblvzcbDuTCnsLGB
f0YpYuEor95S3w2JlQdjtjMRlN1j9auuRDuNVxuvYJHOr27LsZZmvcEeDjnZ8jP+mk9nEeZOEpI8
HccZUrFgbICaKaEh4XijKBrikWqIqbHIhMXXJffFRJhl3L6Hs2xuTKPnT5hNP8OBQgNwOQ7Qq59i
ZePEhg9YTed032KltP0ma6c3Yza0a+xd8ZfP7/2CKYIJGzuKQtdyOTaubAVOVyBC1BDRFbXdBHua
Yuga21SS/yT2MEd+XjvmfxTdCpWWU1s/GgNOYjMl/cxD8oq+1NJK/Q5U3EDxItAAB854zJhZywXb
gORf/AizOnzS58n6WQ+mPPodfKBN3c35DoD7AKC4oJkhXq4/aBHUpUawTrqzekf6nTUQ2FimlSeR
0F0UUabfsekU+KP13msTIzkGtjV4WgYZx5UmKX+clWy6Au9KU3kOrI1674X5hqWHXjuvlYFMIfb0
vU5J7ahhRH20SUuMbVoQSf3dVIZjy4pjaX/iSWqeKbSFbzVCBqyztaQS3ViXW5WmC8+JMzs6Gs5G
zBTr992ocpOMk4oYZnSMqxZOA/iGVr9Bs7PlA7uwNuHpoUxAggq2jjNfh6rFE7Z1wO7NnJh7ebTb
62I2sxfDSuMXBRxl5/L5hwdWg84lSat5yDQjvGkUs7qyiro/Us8p7lOnddw0FuVRkkiUU+jYbB24
z+dgWud0RhBuyWwS1krSNkLX3ALOp6AxyO/a2LQQSOT2piRS+9ZqpAgcT18d8brpW/kiZxUNbDac
25bmPWHmPKvTgdHJgVbPGqXNyqr7iYkcpuY+xSlGoWHMSrSndjw+tHIY3wTJ3KLctYTzs0/64Ysj
943s9/gwbTgYRXNbxFFReHOTW6ab9ROybSK5FG1jETiflDHGWAg2kJCRFLaeoqymn+eImXKnpXZ2
S/8z9EylnjZO75deydKkIbt2wbGtNXuOoLnX9RAN7LDsX1IS52DIK+avkV3LY9uIkTZa0LRuwXZ8
A+153ibCtsJeikYZY4FJYlV+MbHKZtJg051BX3ZlgBC9acyk37UQHP5gSkr80SmDcQ/IaHrIHGw0
RBRr4gvmZ/MQ503wJNK53lKWXPpZFOM1qtHAoRFErdaGUHVqdH1ltqPLmuheDjjgpaQq5FqpQwZm
pCY/9doAF5CrTGJ1obx2qZyOPmBX6xiIvILjETZbrtoLEwrlewIcIIJjaVzv+6URV1Ya4fCfk25+
yenc+igMDJLxUOh9vlhduBSHyKVEjnGGo8b6vUyKBtQxaHalA76uBvZGTGmc3pWDuaWU/ghGPt0T
LOYcQtc+JgTMiaffZRR0TUCgY7sbq0yfHgCM5L6DCDE5RkpY3cORIjA3jSqQD1LZohavzQD0TONo
X9OkprNb5nP0KrAeKW4sd9GjZpchxgyLf+nplrRwQ0iTvCZUb/o6q3S1XIe9joGjP5ete7tvNXPf
Imr/jhNO+QqfsfmaAXZ5UyTlP9Wp5DdgHfL32myu0QZm+7kXae/PTh+DPSxmMINBKgZCOZs6PJSJ
1cj7IG61p8ZpZAMjiIwLoRWMf7fVYvoZkAsANEoZPs+dVPVo+nopj3p3rJzgtzKAVjmkmTMq+wh1
f+dSnoWSWRa5k7nhAKyPjnwWosmzUuO3g3HuLQ5qVUBECMefg8nTc5NhbEfcZv381ZhG+GlKDtzB
LeVYYrvQmgKT0KCNfzKV6eSgI4afQNKY2asWmubWKf582kVfRyOYccvCTKX/9PXCyQLsoCOj4HEG
R87OuqfXzrCvUkO9gngYAkMZm4057bzhRcAgw4qLmh828dVV02Hs5qZmG+JMcDgMjCO3BnytxzmR
Tbpgo2V6zaCStYm85mpAFeehguwOmZarT7XszHvsJvoxhO7AcU4Wzi0ZnsbGDvTD5Lga+UvGGx3q
RT3M1vD00aTVIKtxtLh0jKRUPGp9feHZDPXf3VBVnI2FbrR+NMra84SJ/nWyy1jF2uVIVB7l0ahd
uJ0jLHC+AsctHQGkSHfmZTfYkOvtduSbsRED8nGnKX1CBbkix9BTDCB4JNHY7ClhesWjr4sudq7A
WoTPVpIWv6DHTPHOjh3tVzxzVnPnNE0e6skM/mvaouv2oWNOD7AfxTUrIWGsaqBJv9sWJ/zWqr18
/atntJQoF0b4sm1Yb+c0I8glirzNzgJ05luyk3oIPRK/QBL+PQ6t/n6E9I2ZC0kXrRLtoWSPeZv1
5niYczXapQq54xuj68KQpqCHcXWhy1LrXW0xsUKFNtVgorZnqfMoSbe/KAMpXp2HAZHoSo8eLtpy
+p1NyUgHoKTjvgGCzUFidSIMGpJJBQTDXZ1J+TGwkuYawge7mcra2rmebye5lq0CZpfRO1PqWA1M
VlgEWYaCzLeAQOsHoyR+IXlSXuMgSr5Lesd+0giJlEKdObzgtyOhjnK1cReps/KrVpU/Zk37Lp+0
+dUQ1vQb7Hz7lNT2/PXzdepcZoMiGwuFoTELgor/uJO/DpQcAlqrqUS1I43Ttg5z2Iph1w2k9O11
RUzxnZJgRfcqpSpgodVzMIBKGwcEknYXUSoFAj/vSrRBk9slcVc+5H2lbRxJ1LOjJj8S3S8NUYf8
Y8bx6Xde8GHw9jRwSZOe/hgpV/2ZjBxnn5OrwVfLmInzsEZz+i+skuStn2VQqUCg2OwU+G71XagA
/KC9mwnMdMqQh0e5r+hZDR3I9SMEe3byzscRssVHfuD+oB6GeoXfEDZl2nsQVO3KV/UM6Zkt4Xs6
OFo56xvb1fNCukWeJrXaBU5NB3iNo9CttrCGFAF+0+f6sU8UFFua0Pd2ZPXUWzLbAyXe+x2Fol3U
Ubt0APBA7kCmujEsli/wZNZYfsnC4XegZC8iltMn3rKIahnEHC6Tv9vIKF36cQfa5NdhHCoHtR/3
qNyP1gRJX8w5grxsa+b6mL3PfwM1J0IbdMzZq/N+wPRZNtbyG9RmuB9CvEZEqqjmuxnqduA2ITnH
DVVeN7RkpGohcMlBVshWRC/9uAjTvSYq5uNQBHR4Q7LqHR0FY0BP7bYejG4fF4EAxzmOh0xoxCQG
lPaQ4skAwNLMN0u93vN1h34uanBcTSv2dgFJrZSRmEmlrd7Ydd2+ff7gzycpFTMV0FMOvYuiZ7Vx
ThLQ9o1jsLFpnOB1lsfeb8vO2pNKIZ7//VI8WJYE4lsgSi8/5a8vHwZmWrcxPbhOH5CqZua4r1oI
Uphfy6vPL/Xhszh9lRzAME7xCROhxts8vRaiuSkUImEtLWYSNcQwsWfD/J5Rh/AU0um9snQK6u2A
Wt2ec44H+mkk1pOyDvnaCzJ2nFzZEjKtbdn8LldZd5zLDPjUUIqvqoZLOLZ5nXao6I95lEsPFL+V
x9CxSG1M4upKF324H9O8y4C4FfJRMydxLMghvBVTWW0pz8/KdDReNBwhPFp8jDQ+Tu9XmaoJYR9V
9tSazN9yVGSFB7dVekwDlOh71upeOmRj08EqoogWX3FABngfoiwFPjuG4S82Jig1eKbK1dh2YeQq
hWFU3jjo8hVZ4/iTxWBFOY3zzHhT20r77/NXdrZEcweGsgRV8flREVkt0ZCD6jmaU5CgSR/fK10w
PlSdNRyRVqa4tByKJHO8Ne1cvCi1Uz6AxZm+jjIhwa+NdSJZcaQN7SPHuAIQOfhhqOHmtzkd51e9
tasNpd6505RbZZ+LyhQ6Axq61eoSlxDTqfOBK9HS8orgNOWqqtnTu2jdnesg1cvdzB8cMCQI5tNC
whzkCEVSp9TYnhNpq+R/VrbgBzE6KChhF2aTtJoENB10/ZCRDGDEXEsgEj4sdrONj/LCJgW14Mdt
s9KcJ/wYYVwVjo7aaCQS7IUwgjxx5SCxTS+h33U9RQNi53xspn4flXNEgkUfITPVOzF+YUPRFD6k
zC7ypa5CWj+H9hS4lBOJUeA0ihY7iioKLp8Py0sva/EgczpZtlVnakdqDWlK5xJ36VTbt02ch18m
VSDmBIp3bJ3G8II01+9LkMyPk47dCgLleGvWfbMHUju9f/5zLkzXlH0o+1OkXNoNqzm0m+NhAAGd
75S4S97NJCdSKDSD73LosKX6/FrnhVkqWKyGvCn6Z3QBlp3+XxP2BISMb4NJJXSC0Y9i8xoqx55q
9QDtrimoDcfvDEugsDbsuTw7bFx/mbRWk7iKtAIuC+cI5rT1lJClGMvAVu7ElOQviSEiX4dfiWmU
VRGJzPB1orn9QHZk5ytNpR/muKjB6+bqKwKraWNTeOEj4eyAAoM/+EzWFRap7oVSaFHBAQU9f2hK
xpVBLtPWR7I81PVNL/UbhR0I9jNrNZNb+hypUe/QK+bIS1Sq3Tyrk1p/U5yQ5qMitbm1l1tJsVxK
BxZcdLmJ3EZLM/4zncUsLeQwoaCcZ8L//H1ceACs24tUmh4xe/jV64g6W8aBx+sIDYqLLbENN2Yq
jOPnV7kwwrkGzxd0Gb7CNWcIZ/9k6THxn5MNM3buY0K0swQbJzi1jW/70g0h2uFkppM4hq/wdHzb
pUOH2GHaI2HNueEEjiEObfP88vkdXbqMjQrJobQBhmX93Eiug/fcQjIoZxx2dqM7NzAtt1J6Lzw3
ip8Uyhk0i8lutYEuo1K125gSZ6KEBexoufE1Sc8F5r5Z2fgUzhU/iAw54bNWcCGEHqudcm2ACo3o
n6N2GjgeSKYJG1wpHoqcAISsVGCKz9rs2UVp3akaKexpWUi7INSdBzqKktfJPdvh2mmfRiwjWxWI
C48Cbyw/kC42rbv1cqZUaBYgPBSkCNRB59Kzkn+rc2j+XBQa9t0UsGc8JkCP7qtE00u/zYr+mb+J
/qbFgAtAv8p549rWCHNRU1mx3Brr4pZW5cK4QG22eFnRXixxRKfDrwxjaoYYlnbULOpjp0LxmrWt
pf28Mk6DyeZ4h/6Nkj1/1elVSIF0MJd1NQG/NaFg/UikRjV3nkq2uAuJKPYsIMD3SdlE9yUpG5lH
OlL0TsjGVwSLmofkp9qa45YPazXHEUuvLR4C9IfmOhq06MsaH5wOcbW0hqdKbxd4tUj/kP4y7/Vh
6q4QEflSkv8mVq339dGpDgNloY0J7RyShWuZ0+8yShaDxvqYL7eBhJtMXkT2MGFoJv1xBlEe8Gpg
gYGf+FhTHX4uwrklz4NUg6SfJty0w6/UVp/UAbqnXff6n1oW0AnRxvimKOfj2EZAFhHwb6yHy5s6
fWoa1Eh9aSzxPz7x0zdJSIZjVAUvUZIw0LVNad+RxODcZNpIgipUioOUDfZGw+fCRYns4kvHcA2Q
RV8N0rkq+sboYLY2wcykD0D3Do5nexBjOe1EIBVeSYdw9/mMeV4MRp7KACEYk88XC8Rqh9xHZqrq
XSMQ5ObNe8QgeikRyX2zq0G/hxMPUBl2tPPDNCOiKai2qMquMEDmwjUKsjczaqOfDWzIe1QE6qI5
s6b3Ti3Mrxu/88LTWdQpqG7Q67BJWv79XzskgQxCJEYldnqPa5KJnkDwTNHnb7Zahzlrlpr/rPRk
elSkcPw6gbBeoFV6bntB1Rp+jMlXvSrLPE/8mt3rdR0k6W9Y7jlk1GQkEubz37s8ttUIYrSj6GHr
SH1r/XOtchLVUPBz40yrvUQGpZQBgthLUa59GYpG+261MTk0EUq0z698PiVD8jMVBSUPuwRE6qcP
KkN7u+BUlp6CjMx4DqN7NMALMB8A2L9fCgjk0gjjIAzm4/RS5AJRF9So4vQAsnwQ7I5b2UnvTiRj
bNzVhdfPIgOckV3qohRZ9SwiItJDSaZnYZUEC2B7Le2fs6aG15IjT2SIkKGDi1Sr5a08vQuPk89i
YWewcaGGunqcwIAzUOkyyEelFn7Y9I5X6EXqOnofbuzHzsWBFiIwxCjI6BB2slU6fZ52kaDwIfYH
8ypuoh0mhuh3UYP4cAlsIhsjHTUO0CpkE2c/WoEx+BZz03xVZSZZXJIEQt9lRxeRMicciWSMnC6l
mdtRuIOnXavHkFB0gnrCTvhOqIrAw1MSfK/MpKjdHlOuQ74au++NOebCu6NVTG3eQUPC3mx1W5Vw
UFHkuNjS0Yje2JF2Nwu65tYgxvwZdQmy/zlJnj4fm+dLPtsltL4c+jnToJVdPcuQyh5Jj8AfRRn4
FRVRV0sG+d+3Z1yGjgCSYvARqChOLzMq3QCUw4H3FE8q5ufJfDLHGa4VNne6kTRpj2D54ZPolbiu
ZEMwYJPYJ0hKR/sDbLRia+VOcRMclEGlBP35UzivriPFR9rBUwcJiNvz9OfZmc7xpZKBApCM9t3M
IqzMQE29ySQRwm0zMzp8fsEL+1UAPB8WMs5EvPFVgUMiu28iH63eqRGmDTJlTMcjDc5wgH0qs7NL
ogFrcpQXpuzqoWbtOzwgMxRukWVkEwT4lIoms75Hcp4+xEHTgbrvso1S7IWtGsNsEYIvBjQIZKvn
wrQf9q1Uhru8FJoPn9rcqzLaigRW4Xd2y9H/yDuTJbmNbE2/yjXtoYt5aLtVCwwRkTPJHDhsYEky
BcfsGB3A0/cHlqpLmUljtnrbWshEJSMRmNzP+c8/FJjy9H5iFHZ37lSLOvQD4e3EU2UfILq6F4ym
3yLBvbaRZl7GneIuUentjqXPb1atNQbJJSaWn8SCSpxXfO9bKUXxWThye2pLBsKHAIgmTUqJfD2Z
22m6Bbiq20Oa+mSvVYxS8J3D8f6j1o/Wdyjvgx37w2bo0bLBJTYYQHx744a/rjCpK8ENeM5Ieoaq
8Pxbqw6Sm97rGhKcmZzCeagYMq3OcmaiIk2g+9oYoojlYPSuuu4Cb3TiGenWd8JU3MOvv8vrtXpf
N+GT/agQGNA9/yqSMA9qcGzsUdg8Yg9kXAST9U0t3fgGrvh6ceFA6FBg+/Pqo+h7fiBNeHnt2dyp
oVdpZBhlwdSXucWvT+dnR4HhxFOKSHKfgT8/ymCmhehGmqFyQKznzo2fLC3JMb8+yuuLhmiHYQGO
JTx77OTPj2LOLW5yrlFGuWj7aCdMHvDQz84H0/n+6yO9Ph/mA67F4sBkwqMqen6kjr55D63KkBk3
zQWCTTB9MtSSXx/lJysQhGobHHGvgihrX6z8I0G2ltGlqPNUGVzlclFPGUSRuB8wfFU8mh+zaixC
3Hw8lFLbHFXGNMfkNnRR1vRMPPHlvKiynESpcvLe2ONfX21IXQaVLO6HeEW+HAIxVzDStKqwrbG7
72lZmVjnD9aHwi/HN7TjP5k44p63+2Yz6IO7/PLFtPANZQkptRBT85HXbzPKsDDM4RzyZ5GoYglC
XWNPi2DDmnHqiuFugqbzQOls/m1/NiZ9yBchnSCzJjHgxdJWNDSGikER211OQra+LWeumZVvdbuv
ZzNUhwFtONR+Gz+4F89ypk0rfCMs3BuzL+8DP+vC3Gc+Q2gLJBZbL0AoCNsqx3n6btFdxhjozV9/
/fy9vsMwoxHfMAljro2y/PlTjgESTilsWegd3PwgVppFwI2JdK/urav6k22Mc6QjYidDdsFBnx+L
7G/W3Jr0c1+0BIk6bbWj9Xk1Ghdz6zTEfAjH+aNqN/TMexFzta5sz1Gq25Cn7AHjP4hPM+OQbfAL
742y72ffjsuwV80/mPovb3qzWqkyhroGdZkov2a83I8mrkF3I2zLOwKh+vNCn/U8yizUS6iisyMJ
Px/8xkdCstJInGUWdmdvfK3XqxAcYDj2DBgoiXgznl8zIusqoY1lTXDjVMFts+szlyCfv7sVwbGG
1gyTnX/vD8TzoxhLMeqMt5qIuZT2VVZ5e8EofWPc7+hvgHCvTohD7ZrIfREHMn95Qjjn2rLxIaQE
ijDvubCyI13730ZwGU7Ag3V3Azq84l+OQ5pUI+RcEQOFQkGeYFyR+tP7Xvzrl2d/OZ61zdTruyck
Dw1v8CvgO6+8bUlJzYgqv1nuuzK37i3cjB88a9DP4EG7Yebq/Wkh2ClySMT6+3fNtlx4eKwdP7rN
53ctT+egbVx6LMgqO9gaNEfpT0RLtkTA/vpMXzVFkEHoZLltZF9TQbx4dUEMaqENOPiZZovlbR02
pkG47bmgUrbGt7IUICa9vrI0XwgT+YcS6SUZyFcs8n5HmiC9OYlzasKuOwJN06GgNKYKIqdcSJ9b
aiu7wVqH+OsVdvdj1YOQhX5r2d/zDFLgUTiZetxGa71ghjwdO4T5ZlSjWIc7XzdsMZl0VmzDmH9v
UHSCDSsms4LUuWXG9AHqgzuiIOl059Z1x8kOER9A1AIXJbdXGGt/J1JzdCI7U9jVpaPCI9vr1Vqf
254JT7NhwYvwccLHWc+0fgMnmw0ckEa7zGOBi9D1oAVpgYvgPFxMOK0SntUI/6kW63xy5VJpxKQW
GzFa8EqxWZrd/ppRjF/gh66Iag/6yRIRk3ztsfBydREIsjSx0Motnocsc5EaKU/70uKv/jHzUpMh
dr9+mrzB+p4VrfZFIjtvMAN1RBtOZukFrLuTdi2zWrMS3Vbo4QMqku5y3n0yYzmPZANQz2DmXeob
BqBwXQrtbNNFflxsrDuPdeaKLexMiXu830pswkif1mNtMIMvNUllnCBisU9yaAhU0CedGFxtRcV1
MwqbRcHAYR0yXr0QqDpVq+smk9ORUlsVGwkwZF5wmxbTcYoD01T5ea7b2iQuadgw+B2L5W6sOtOO
PezI7klwq5t4CkaiDmHf9l7YwkXvYkQvjBwcY8X2dEC2LUO1yulhIxj9jhwlpsuF7MbmUPGUZBAB
5dImAenr7fkmMT0l36OpmQdMJFOQbga4Hs9k9swhT5nrxCSyMJ0if5R83KWRWFLTPJpL7O5ytbj0
tup7sQ0LLxGJWGaYLb7x2TKgnIRZ4JBPCoVqepiCetNxJZ+p6oB+S58IZNV+hx4xLbeBPnUPpe3Y
cPqgQfGE0PVdAtDrRjQaA6zqnIJFwIiy5nf6iFl71Aiv3222sGuAySckHmN1if0c75MIs1R593gD
Fm1kicC/lls/X1pcTX6dl+1x1NZsb8mGxtEKZbcpqOTVHm/Gg+jtXLuSKOS2dZYQXJYl79cLz+sl
lo3JwM2B3hfo7uXOZEMC2KaKYtfoEMREzHHFAVMmTjjP7ffb4qz3qpJYHJJTHtYgK/+qgP/72/K/
sqf23b9W8+Gf/8Ofv7UE1+SZGF/88Z9X+TdSQds/xv/ZP/Z//trzD/3zRj41t2P/9DRePcqXf/PZ
B/n9fx4/fhwfn/2BVz8f1/fTU79+eBqmavxxEL7p/jf/b3/4X08/fsvdKp/+8RvhMs24/7aMlJ7f
/vzR2fd//MZF/cut2H//nz+8fqz53Nm3p+qx+f7qE0+Pw/iP3zTD+n2/IVDE4Bexze6NmHr68SPT
/p0FDUgMGxsAXXaN3/6r4dUW//jN9X4Hbtk3LZ1PwaXkR0M7/fiR9TuFMOMLPgO7gCHdb/8+92d3
6T937b+aqX7X5s04/OO35/sVTa5rMyMwScbxA7Ysx3y+Na79ivvI1M4JAOxN37ZZshbdcuz8ZYiD
FVvjSsct8S/X58/v8NdjPt+z9mMCqFF0MGKENANf9fkxJ9cRaSrkkPTekD/OiuGLoQzoqf78blbY
af76cM8r938dDiDDYbRLncNteH64kSFVW1rdkDQMYo8YP8qwN7cq1gv592KU/jwUdFfExxzNe8V/
RIGuYzw0JBko/Z5/IYjAo3mhJWvtMvn1eT1/4/99MPouABoILS8vI3V2a9RGOyRoE8trYfXTMS8r
60tXlARYa8qN+8qUhIu7U39FvtlbYuuf3UYcZHCW2vUGnO/z6zrrekrSvIbXk+vXF3IattAv+/6S
0E1inclAfOM+/vR44OcoMH9gGi8emyBV0jRrq0+2NO0++FvXXbmLNV/oyvcvAnrvX1/enx9uHxdi
gQ0KvI+C/jqZqqdAOZndJ5Js1zjQqi4eZWtGA4/aSQV+9UaX+7Pj7YqgnUQGYvij0vvL8Uj/ZJil
1j5Z/QVxTuYa73RVBVe1mXU3Cg3PG+f38rWA18l4x92NUEBLXzlgV44/bXa59ElTbPY7sKjiMJiV
QJLR5J9/fSlfYBY0MC+O9aI5C0zFLMLq+mRqmuGsdGmgsgowWS9h5GhZNl1nmQkBuF3e+6k2XUu1
2JepJPf0/+GkeWCZnOO0hO3ai7WAjMwZF2G+yBpQ86yeplBGifxinjr19dcnvT8f/+l5fpwzXDd4
eiz6aNheepT5jiEzZxNd4ohgDfM8QHmzGcvtuLZVEA2j+pbxwToRWZcefn3olysDJGSHLQf0wMKP
ja7r+aMrjZIAYHTnSf1AfOa1bUbTJ+04rfFbxJxXB2KlY3PjXPaem9bu+YEwC560FA/tpFTUXi3v
UTSmZP9GnkddXAeZd4a2xyIfch4+yRG10a9P9NU1pulhoo5adMfWnZdQxJzDXNPaPsM7d84vLAHj
cnOm5ZLRGJRGEtGVsMezbGu8v7n20tuxWaJ/4lny2Yz3l+svL+tU2Q11lqgSHBb6EwfpWez9gnTU
VY9zKFAQM7T52M2NG1tZ2r2xVry+7tBA4VSbbGlsoi/5OV1QBkaRDiIZNmc7mATyhFYK+diSyFgT
s3IJKrBWp8XcndzqlvLirfnp6yvPeMDa3RVtj7fp5VBjIEtIF2NH/g01ZgTM9D3HkzzqXNEcjZ5k
TKaDwUEZev/Gs/3zAwOAMkeFNx68uPIynzLDbSWh4oVRH4KgDXDmrZrjBrXuOism+35Z5w9Yk+dv
YBgvKyXbsHfPNCTnVGQgni/WMH1NDSNHjpZ4kDVjyO3yQJjsEOmwKfBq4fmX7faWUdNPznYXpAZI
YHcg/yXBDulpMc792iZNt2SXSgTOYXDN+UzWAczFwTQ+KFC1W8Lp3sLbXx+Z+tOnOgR39SGU74/g
X55wCzPiZdBVnVi1s8LQ1drPmV4+yNW2Tv5kW2cY111Vmf6WQvDlNoikaRdg7dg2JDLz5SutzE6r
WraExGHSGxWKfCyipK0Lf7XeG5hjnv16BXlBlGH12Ddb2OT7hrAT/19UFXmrmUFHIF9sFcb2OOfY
aXumGJm450o/+UvaX6aal+WhRN9wCRciv/I0zfo6Tn6fdHmFWbq92mdSyeFOw9f0lJuBemO1efXo
8Y7b+JXR3+FsQ8vw/F6Ua462Dl5A7EohIgyXSLwPVHty7ao4aYuYI9ait3JtWMmf4+77yvqDqvqj
5qLKDF48Ax7yDCJYDDdOvaWpwTznfvtiWK1V/WGXY91de+BqC2bouaZfZGNeWEmBj4B7JPnBqo5y
U2ZxXNSyVLdD3m69A+UcNmmsT6mZf5nQ9ejXzHxs4zZFtBREdj/IJbK6FjuScsHP/5TaXeN8mc21
bU46Dt8l/qxrr41h0eKhkNRelW7nvsBB/DRZhq722A6mIpgJVjWRV5b/iPVp7X4ELBHZlbRnot5x
+kfpWeJrR1S7No5fdXRo5rlGbjXgxmAS2KX1KKYbHvU80s1u+5BZy1RGgjHxnthalnayWFgohunQ
pu86ovD2iTPF4aEJjFW/m3xlP5WyXU47perTmi2wqskIatBGz0F2T4MEPO7VZKm3s1Q+jsOB1rzb
hKWmM010gR7LiqxOlnepXXYsAtkB2vLwCDvFkgfh9OpYB5QVZ11WIH1ttnmYjohggaxqW3/fdx4D
g56Z/ZcVtvt8nvUa1B3M0b1rki00DAPphYi48VNHHssAjSwLmvAkHvCW1sZYmTJC0Gf+brLkZnns
zTW3oiE3h8emh6eaoDEfH/DkGvZBF5rHSBv7bDkrsP94XPxmvp5az1UHpY3pjK5nYRCQT1JAWc1r
A2s9Q04KzBdfqArK7aWxdWO4e3x1kcnE4rrZRPsHWYhjczR7uLpnq6thBM95k8e5KbFlJ7Rm5hkh
hjBfPEMXazwJHS6GyHQtgWMQaMfeccbsYGzaWoDC5jXanHF17ZhIZ/faqwL+h9uPXR5LBo5Fwsio
Z16oTA+6vBC+eVDu4pXnuV0AgAltHQ5s+haEKIq67GjVQE2xgW99mejDqi4WO9uVFV2RjWfuUDdz
NBmdDaeJsnbC3YMgo4O5yvQJLbO6dgfcfqMiKHuV+JaGuB3Ia76zZI8kI5eSQrxWptiHWhpGSKk7
tx+r0iZ1zu5HA7CM1aw52NDW76wmy7kN/ZhmaN7S8WBt+dh+wCdSq2JjJHPhva6sIcERfKkv9HXL
62NtFqN/M7abP5+Bqg3XShF1c9FRbt0urkW2vWgRkSb6qqf+rRyb/lISSm8B8HktRwC69XG6mScD
R/w1A8AViD2P/Wqoo95MRXucHDt9Z1dMZ09UEEULiwFZEtD00FEI1xISScO2B8WPmQobTKUX94By
6QP72T65EjqDdytIg3fTksJjckcXl6S6qhBSutKc9BAJf/vVzQb2KCpUzQ49Faw51s5FN78TRBzo
78kqr7sEkKN6b5sIDo5Wq8sD1JymTqq8b0cuhz4F71YJs+odjU8Ak3XILXmlPG+5baVplOdYJkyX
eW/gamyuZfNtKfNS4XAzzWns+G161uSLsWEayyAyCnKQ2ZhRq0liSaWTQVk6HcGPaWotbdwE9UQK
Z1s5eDp2atbChsX8e0Hc5ZZkm29ekVHRBjFZn+I0ryA2IbFo+g0p41FaDPk7IQiAj/LUETGrCc2T
qJGgRnqFUUk01YXRf8y0nKAB5LfNfJhLOQr81rxR3EzSyGEo9UKK87JWcjxrW8VrLlqYUIcVSvEQ
ZWal1MFZpaHDawyc6wmmxHpfzqU9U4IAhR+LEbLrB4b8zhzblT4W+Ok5APH6DFE8d2mRk9ztUit0
+0UPlwJdbDRacrvF9snfUXtjOWzloDX4MXiTeeh6RaRoyYS5AasPtjSUHiqkM7MoiptmlU0VV1WQ
WTeTbk8Pnt57+inTJ/U+CDJxl/qr+6nGKGLFnhtT/x27TU/oS5hbuChioSQtzCBCIrNsjDQhzXaJ
68EgCNcFt6B4rjUDT64ZGzb2HaVIWMUG477MUmdN8rQp3rl9sRsNdGLdk6FGKMqy8+vbpfVXFtDV
NW69psm+DZiGEHyYr+Bmbg/gWK7Uk2etO7TrWcl7nh2aLFjL4zaN83Bmg1UfVCtwiXKHfGI78vPs
qc7Kro9a3F6zIwwR7z5YcjHGJnpKi4VxheSNi8dMgoCzIUeX1XrETag5d7Fz34CY0vEWEL7IQ4gl
6mIbMPkN1yKtBpaBJSMeI2VkEyEp0D71w7b90dTWQm5QgSfGadpSHyPCyXTAjoXMwL9JEA0BkGqS
U3KXZSkzt+JqC3o1hKZKtSdDOOP7mthYebbOqUxQOthsqYbU69AuCgwjhaab5/ZmYYtFyFVaxZaF
Y+EhLVJeDDVYDvMBzPygZDTtOkeKaYaAPNI7cyhcq0mJ+Jm1Kcxyig7ej9X8qkQ1XOpiCL46wik7
DEOIwQ3TueoOq+yXIl7aGrpdGeTb1wzJpoxaiU1NnLmKdJdS89ybDgbTFgatOzuJR56K4IerHOlc
1UYujRjORdt+R7BM42p5rccgyRvuRuZrj1NWifPBEY0e7675OJqywX915opZl0ai1RW74DDHJQoc
woO6wQyDzpB+tExmnkXkfNtbCI0Op5Jl80v9Mh87Z4Ao3w9XtpFvd5m3dJ+rddSnUDC7729XT6UB
w0of4q+XGdl3bcp894gpkyHu634rb1o0tcy3bBzCQ83BKDKctar8tuLpf9a72eQmqZta9XFus+Bu
5bG2mRFB6Q/HYQdfcLnocZeZy29pWnR1KI2JMNfBd0t13sKLo861KH2Y3nSwbCjhLlZvmsgrt5eh
OqiN0aY+GstnJVfzJH18tsLCXigWKm54Hcu1abRkNvzsPlu8mXQiFpdEidR4SkddrfgQjFLhDMPy
u+S7e/vm7YG6VaWTH4w3lu7h7eqtVUzF5J8zkBr1aOv1DM1Dxd0afGNPGza23riCrzAMh2qSxN5u
vRVkCSyiYorsymiyo+FC74oXBPTyQjOGhmCcbTYfWweKYlQvC6tX5faNfepMw26SgBdaD4nuXsXB
nDK5nndZFTyoVoZB6n+lmrQtHEYcsgM2AUxljSg9cuZ7kbPIj7Ox5A+NnePul/VtVoIcekMRzqO9
3Gv61CY2Tjp3zVYQLRt06arOBfU3CmJ3BRByhXnXaHN2t8Iobynwq/ojIzUlv+sAwcfAHjeL2Q6Z
U5hxukUVzshh84hoHULLUiIPxsthE8XlNA6OvJmdvjsvdnvDg/QaySqmSUudET2PO0pQr/Vp02q3
CtsSzAhnLyZa4erMbnOOIVUrIteTIAua6gYsiYi43IUao1Zf97M+i4OvDWKLlDvM00mqbpEhPJ1S
nNasUBYhXjY8jEru6eAZ6TRGBACnPlcZIUrhInAFvKDkHfMTDnYbwVpYx5DghQzrMVhrj9c/nRHk
Yf5TXez+ZsOxzPqaysZPsxPTEsvDj0wyYFaLsE6a2m2UKjWUzKwNY/iqWZPxTTIdpC7KUjfacqe3
YjU18FVnYddZtE/U7/Qiz9fQ3SBaRxXTVaxfdBi+Ee8zDvCLN9UHz+nUtdYhsAyXHglF7AUdyVcO
UdkkZpsi4Bfq28DqU1LlRuZY+nOyrKk/AafK4n3RjayJJvLHkzmwMZ7kIiSpcWbAMZvV9L+jovaQ
2dvr8k0TCDeodTtWPs9WIwNwuRZLWBcKapMhCMA+jRmSh7CbNZ2ZfOWpMVa1qadh7xXWFwtRxONc
AgYdidbKRzxxg+YK98mgTxbpMZ1sZ6v6WICwoNYue97Q3J+8EqRKmWe9tEbKTgjIKeWkYXchwAQT
/bHH5TYkYLsLDtrgk99hFmS1UcUtXUMh3PTFmb+RiK4PQQHZwS6d8Wb1N7+IbDnuen570KhClKLK
3mXSMWMNuSbrqulO3OGG+nFm71piQax6ONkLXAWY7xUhsVCrp3AoqTPPFxwy7cSk1FOhpHoNZ6vs
3ol68u6yRR/OvXHptUOpUho9CHDq0NqOpicTr3bPJCSfdIozbbRjzVlQQ6OSOjXM3Odw0qbpoQQT
wXTSk5PJcFtz52OLaoEbymXlwfTWVuBltUkXq3pz/l4o0MdzG3c8/aLIO8gCvj+uJxu6yZQUVd58
9bsKMxCk+PU3GNILbwpGMuwVjWfJuFSM/kJs3awGRx0D9cFgexUGy9a4HQkNH0m25jppyKkyLG2X
ZikOjTlVWizViGHh6lbbafZq7RvXFMcix2uKPsR0hATSpprRg7fL+oEudmIDxwUqRFzCW2Yg2Spu
NNy8znqzDpDEdtl20Tk+AoypszR10mZvU0lVLO2HcpYjvatyAmwmpl2JUOeD6gmYs7ebti9tXIro
u+/ngjqBj69BwVeap3cGhceD5lZOj5E0KCouLmb6fiJNDXpmx46Z5FuHwhFtGKWvWIhBmwAPrGgn
md6TsprzmGQ2yx/47hTSx+RmaFYV3dnCa9ufSAkd8QNVIyWdkA0i61nHbjQ0/Nkk+2xx/cMwsuWQ
cbcH4lVmlUe9k4tbp+4oGfw81+8rv8aPosswQp1WrAePdjrY/GenQafMkY+c+TkLZOvXOixSZ8mX
wyhFf5hgt2ihvoymkxjWAs3EyfcwUSZxqgg9S3kImkS5nQqyRMnMy2yMYETQGF/daRHq0AnTu/WH
ubnMbZLW3+u18NMIA6KFCq9dA1RYhj+aseXl7HoWsEh2wzzKvbMntOME52TWFVQcDwuUzMTAkqKg
9hJy77T+QqurtUWBNKV6mBOQp5J2HfsZ/GqU1yLwpvVMSlNlBwZtXLoc81ke+cYkzt3shDcdWfRh
zzbN0trHPeEuCPFecxOuaJre+k5R7g1q6+TRVNT2cIDELvubyYX19FTlRUYGgTOxVscTZ8Wcx7Ro
tiZS1HnQyqEMzrrCy1b0oEWxkjIxkpyM4SD27TiLONsxaymvwd2kf+f27bSR2pKSV9r60/rg66Uy
D46RqrO0beD5aAsFHYTgfPmymVKDQCZYkdysYE/Sczk92eWwXcIf3VhGbIdUt3xzBXQWYTYNAYPt
YMQ5Zcdy2ZrYhCJj9qaRgNuBwTce3tMQD1mbamcSa74pscq5e09wI6kPLbvHcNNo7OChY01Wfj1q
nggOPhuZRlqJ6WWnZsoYiXYlpneHitp4Jg0t8PJ40/pVj9KhrCnN0EocZsjL+NNYS/2HjVDhSgbm
Zh6sbL8lem9jYWrPnRu7tFiYiiCuIMouA6QMeQyGzx5wmJ/4JaLdiFeTiE4rGJW5R9F0X5APUKEt
Nk6s98tWTw6tt2mc4xSXQd9hRv0e9ksmbhdhY7LpTEHuxcSojVXY+C2Ic+Au5jfcxOw0ZCku+giw
ADvVBf8l/Izsvl8uRyeHAbO0bOZhoLTAPLBb7cGoI8YUzLlkdq9TgWmR3czk2cJSgCzllP7IEG5T
vjiimxBDmJOGA7en05DzbrWu9fG2psJLyooektaiJ1+PMBSfvGNKz7PS4qMoUNR0BZbgbcAIKVZB
eNc7S4zzVT+yVeFVGekTqSAhk778cTGH6VpQ1PKiEtIJsxI4LQtBN/KCRhpGUWisW/Zg1Dm9emos
yyW2g6UbSV14l5sNvRT/eZnip+tWX+vR9e97bVgwvoSWzhnYMxOXzZf9LYd01vMNn9EHq91DDi1X
pN8FjruouoJVM08k48JJ3wYHA1v0hN4NFeK2nlyYTMSj9Fu24K7ImCMu0DquUQkEwtqz+b3HujwO
1wX2SCqqp7b/6hk5Kbs1ldmTtlbeV8yO2ht7GyZQi8X3qeYbd6wpqUFdLlqAG5FYwnEuC3hvBr6n
GG2ddZ3UH1CTjx/tuVZkDI6qvB8Iav/eecZiXsuuASKbsY+1Yt3mg2dbpbB+lF3mHkTVFSfbyVDb
jGBlI2pR+xsjwyMhqrMZzZnlZlFBOOJxGix62LansMeaxdjeuaqwz9ZiLb/jv2YE7Aya8ZXlY+o+
UEML94QjGHZRrkcBEYMzlDzvtGMiQftANQI0RKQZPXL3PRs01Od0zRjggJDpiTNYIDaDt3GjCUTS
vkAmq2mYA59/e0QItBf5VnXIlfR5suJAUURJABPS1Ae097Sng2afVl3oiZxyWcS6VSF32ax+PeCr
CNYA9kgctqxNbDpVuc1QZ3Nv/FRbpYZvp8VufJiNWf86of8vUE9qjMUcmCi3hWuX/kXaL8oPTXvE
9tAoKsUTG9BIXriOrx+ybmqYRIxZSmOfeeMc98Qo+7gq9cRiBkFdHngWmO3hJrSEaWOV2BtvC3UM
5L0WbAyZydH0tcaC9kYeLl2ZSxeFI6L4wlJXNvvzkF2XZZA9ebuTH0XvUMgEHJo47LnzJnWUzJtw
tMt4HaIJ0xJGD92qtczva16YmQpjQm/AcKrkNkbtpNXdyegs+ilL1mmVdPMYGGHZT0ZFi911M/Cd
10drN7eftbywt4ObzupD49V4EzfcqB6Fz854JqR6OTPGugdz6Ny6PpUDOB5HGFiHyqaUD5nO7Oss
mFn0bwFs+iCpNxtLYgxcLfswbxNRRKS6CpDqoC3bQ2kgLz2ChNC5s1IYPfVp23qEoI7ZGLkp4Qlh
18jMYiIwz9WRh2680VsaYsOpAlrD3OgOgbcRRWWnch7idRMDyK2/tUGUa1k9EhLu1tdCTgIoSjjb
A1gOwzNfbyt6+RRcQ/cK9WmwYUaOpis+YsE+O5FTuLOIRvqQLswsrYBkWmHfE/egxik5oCvxvjLb
dVUsWIBKnr0eiT2y2tBz/O6oyr675+oQu2Zplbgg4TSDmzpv44XXUgKFg9k4RxYEOplZbcsUybry
29hvN1zS6fgkMWMy4HXUpNunzFtMrz1RWeiUFls3GYfFkCDvDeUzHY1f+Esksg1GgbHVhhcxAZ2n
y7HEqljL0zQ4rJXhDAcW+rm91FsW9SMRh0FwWma93rXlo1/Gi5P348E0ZPcZPLekA9rwao6zuelO
q8fjEimYFvNR68zqbixWUZ+ICfZOAvqPEXq0f59L0Fw7SvHoeO9a2BJfFMQaX3HtxyUuoJDcpA4W
lWHAppBGOAjr1C9Z0YA/D6l9ma9pZoauk9N9mXaXlwkoF2zcERlPF+Kl7QYwc+vUPlR6C284Jx38
Q5DVgi6k8tWjyNvaCTGj87SwUtb8sOS+tmHtPmzsskyDYjn6/Sctg9cLI1l4KbnKhofRqec0Q0zS
4i5EdJ0K22mejy+kaRi0Q/PQNFdjsfEUYqxifjPn3ftyNRv/GzYx5p1NUlcZ7ljvtDs6BpLX3CwP
2SqsJ2/oqzlam6n76JIveXQ7HygxSDWN+YZXr9i/UL/lh1xYlp4wy7YWmEzqE9yG+euiFDhJmqct
/GPVVce621amIzJldU6BQCw8zyr6f6KsKzdpm1aUCW4Ksj3iN5+fly7GvFGQbZ1/qofV+RDQGRWs
o5M7vBN0ygZw0JC9B+DePjgBzieJtEWbH1dMX8wrqj86lgpALr2wrXZOP+TMJ4a4aoSu/uhwbah6
bqU3ePeMW5B8Ya3n0Jp1vK8X2roU4r1Ze7V1PS3LvN746FKDDy1SIe/SLt18/OJgYV2CCRSgy0wp
h3eYvOMzxeBRum/Rql7Nr5nQwolwscPwEW68JFTatVxdmsYlttJc4WRhuTdQ9IOERc46mBsP5Y8B
9p+813f/P/NudzeR//43t/UV7zbq28cxf3zGu90/8S/erRH8ztXnRQU+RqYE8/PftNudkIv/EpwK
5PhwK3aJxp+sW9v93cGLAmIqDprcxT3vZvgX69Y2f9+N1xBaIHiH4Imr1L+/2bN79HPW7c6L+g83
DGMmuGfEnMGg8fCNo6F9PtDXgTsR+OYionFFyj+sRZyZAMd/uR5/HvWvPNsf7gkvD4NcFhIYzmuE
2r7gylTKtJCBAlN7OSIN1xz0h87VNfpCu+s/pEs73ZvFrC4mB5A8bMZmXsJZD7Q+ZJ1fNTLdPf2j
GMh8DJkP+QAIa+9CKjIr7cJp3PpOlGtVX5QORuRhAPX5OlAzSxsSNS0P22kp2sQyZ1+FtmVon2sY
NLeKHvFhLsvlf7N3Hk1yMm2X/i+zHt7Amy2Ua+/UakkbQhbvScjk189FvxPzqao7ukL72UrPIwpI
0tz3OdcRe8UxOUf2PwZPWeN6q3Hc0ekE1vlVVxBBE9lD4d/5gkSvM2ax44/09fnDyqBch4qKr/w0
kwU3Ye0AWcJPEi9RXwe33uI/2fVz4jDe/t+QfOcVrAqJkzdwdKGTN7CkZCzOAxciQ/1Ftc1tV7Kb
tUi7n60tiozQl/JyJO/r48seC0YYU6vkHKRGgBfJhJZgHo+vJMvEZNXUAwcFLHACl7jFH9cQ++vF
O3b4LWzY0TujrTxRef73qiZ+ChhJqyXJPpGLdLprx8FMCWOxRLBi9DNOb9RrsPmY9x30ADp8nkuA
c2EuGyzQzV4qu92UfCznjNzHyhV+CoJdk0+fMgm+NnBexw+A9rsDJoNq0Og2MDhhHjo3aPFNGWYW
beyQTHVcRwqS2K2fJLPc2Owwb7osd7JDMqENgBAn9GvDMUa60HGvXrJmjh/trhAPmmgCddn2hjFH
U0F9gBKe0tTezgWasK53Yf3ki7JuBv78xiHP/cpLY/deatY0h5WVu2wWO8/5sc42+k6vDGOC08z+
fAstST22ycQeGO0h4jIPmP0Oz8iwbupK4m0CZ8i/4cDXuzOTxToS/xqpr09sNROg5SONVD9VmlFS
S5ZGcVCosMaBTHa7zyrW1I9WmufSN16V6afXIqkGsjlZwQ56+eO3U9GcpkZDNo5wDQIngtF3I38Q
47Wltdl9jmKfsjupC4Nn6rdaobXbVbP7ADF+OaAtrEvaEZq4dqy0uVR6n6OAz9fau43/++MP6WSi
eH0qCJ9Q2DOMEKOtf/+XCs73CEtRDTsfVWtobujjTuTNsKdiwmwfYUvPzRmt13sPB/cOEl6sighP
TtEjIu1bYqjoWXR8Y49O6fm/YxM5yTf6mwgtQNLKLuz0tDygu+F8RiNDGZFVD8aXcU24iSYtVhfd
khVVOMMyd8LZqabnjH0zPLdsGsz9x8/oZDFbnxF+aqTkiCNXpfOJOm1R05jHNm+Tj+Oxs8h2Cy22
uecSSt7MaUiMV3M9QmNCmJDCHb8KNRGXVi6IQhabyIxRyHEbKPOp05bxvjSJeW1bOZ6Zvt8APFdd
s2sipPYwfWP3PXn/nDqArIuKWi84ImCKsVryvRN0KyWwEe1Xu1XLQqnAY8/u2ZJDy6D0kTXFtfJP
//yYV+8DgvLV6IUB+fj+bTUtbCoaLbTIrKGjDHUqzZZs9/FV3tDl1zteMSWwFjErMcSOL1M5JSQj
h+o2BQ39onQLjvcF1PUotWKvCLPEtr9h2SkvYhMuF8INwK5TUaU/26bNbpvSL6DsAgIE8U2M68c/
7p2RxmIWBFAHMGXhjT7+baoRhZXSaQ27ElmEI3Ttgi1O8u9XAZ1hcuQECL0uZsdXaRHLNV3Qa2GS
G+O918x07lrTevn4Xo71ta8r1Mqx4KvR+WZQ6h9fhfqCayxrF8Gw0mqnuUOxSj6qQ0xT5Fa6RXKw
bLpQC23Qi4+vvL7Bk9l3VTGvZaQVIWidfK9mJicnHxlIdj6Q0JJxmMtCxpv2kNsq2BBN0txg+dG+
eIgHs3Buk/zh41/whuXBIFtBnnjbISpCszgZZEPS6cL218VmRipAvFS56XP4QVnh5o+amEtwzmOy
H4RFTJfX9lfAFMWhMFy5WUpvvDTKmZU1UXE0gsGZ/n3SX62UbCEw+2PLOxlmAtqMqDM/Ibq2N+4K
1xUPCQCV1aC8TNc+xZZ/E7X/dzCwDq4TG1u3N8sMnb3Mqi16zsyztHVxAl/Zs9b8QDIEJ9mwhk1m
edYNsF715eNX8c6sinuLnQYorTXZ/WQwBAldGkolSUTJla1YbzEgWzq0Ac6nDEKNC2SLXJgzc9k7
V2UAIvPG9siseqqll2bST6Uk46jT6Rrqc5d8naeqM7Y9cgAZOrCZ4bxMS7X/+G7fZJ/zUvHkY0h2
2aauJ8Djr66HhjgLt0uiTC22v8mx544HhIXdZVI3sYOVTW81SkWTcdmK3JourUpof9SoUETOtDyT
Q0cz808Gwyc5VAXVyigpKrOKBJ5kDMVYJn+QubOYh0B0Q0xiCCCPiKZuh1WkiZd5Z5S+/8lPEDaF
g2TTczBs4aiLwayw18tqwToyWHS+ruh3D85OUUM7MOMHakOH1n02fWmJyNRMUpxS+vp7I25wkIs6
dwX1K0F6pAzKFPm6LHAcKSkcMhGreThHSFuXm5NZhIMwvjG+4xXfd7IcWRjihKMvfMKBOV7FyTxv
YZBPFjvZJgX4UYsorwrMMFM5X2sO1fZASeTeQU5RvSBvz1eivchBX94ijjDvJho6+pkP+Z31gunb
83CY811BNDh+28p0ElSQYPJMvXZ/UXZDH6510xkizzvzKdAjVoqVRO+98WjYQS8Vb5+NV0q/ZoLL
R3LY7AKp8UdcKH7cqGv4tZa78UfKp1lB/+7MsH7vXcC2gFpFzCa+r+P7pFcjMqSIwKRyzfhimGpA
WWwmZ9AW7+1MOUpB1Ab0xFx1CvzjAFfpnJspJ7SOu7NLvHOGTksxiO1qpxxBEoWq2uCiwVK5d8w+
2/mdzO7NYQku2qxAmoamsP4MmR6AnE6KWGCkdoJCEV3Qxw/k7eLKR25T9KBOw/SinzwQhLNFNhYs
rlXtsUYAHSdpWc9fEFElt4sKjAv0SS9y1N0za+sb2D0Cabap68adKwMmPlnWQQRjSUoHhL155xxK
M3HuauQgF7pKnEOwEPrqZZP7x6UxQ2clGUDl5PMtjW5aQ3VKv+HjB/H2C+Dn2BxeeBpsz19/7l/n
F2Ug+dSrjk2j5vSbqoFJUCm0sR9f5Q3ibr1rLErr5OqSb4El/eiYlA7IRL15Bn+VmiN98pkmWq+I
6TK6ydxXRr3czxz4v0KsgxfZ54gkEnSjGwizzVpkt+otVsoAeE/uVHNERfeH6S3evu4yO8TS4J/5
ZNdp/njy4ve+Hj1J5QQldrLqzUVWNeNIeWCemx825OY2LHVtjDJHFv+3QHvERfi7Cvd2rSMuC9s5
YwKzHkb742eTVHajGYpns9APvxNLjw4lL63nTunuM40EthWOcn+ceSPrv3p6h2vmLh4u5hYyKY6v
OlSU3RBgMw6D9Nmz425Hbi6zs1nodVSqgpQWSClGpHGkIth+sevQGnxaUUj8YDo6bnsGZ/TeI+cE
TbGT8gJfx8nKW1uNBLHC9kI2pAUmnaQIpbUzvUrUG+cMsO8NSJvaDwYm6kBMyiefIU5Q6gKoEUKz
1qxHMUu0TVYuO3YbgZ4GxaExNcJ41zif+ZCgp6+jqqrJmUxLhAmYfhxZbnzTzvaeu6TyS1Am5LHB
1Rzzu6Crg4xefFVlkUK7YBw+fnfvTF6k51KCoThiItw9OehWWkIgh+C3e5MxPxD8liNAUmjQCZPY
N71d3pixyJEjmfY5MsPbpYy5gjLHa8mcB3dyaRxwPVUJFCzCh8wUmWzBPo95hcifRMdMexgD1Nc9
Gh/nt27Nyyc5GXm/+fj23zmB8iPA2wFR4HzEWnM8dJVTxLKd4CMKu84+zeChqbYkXthL59kf+uEw
LT5HBd0at2LRpi8tdLSB7o7Kn7t5kFHukLd9iNv0HBX2naeDC9OmREb2Ctrek0GVqVYv3SRJoiEx
lq9iHskdHhAO3WSTNiz7uQ1wIsusmy7iQFnZRcvhon3++Om8M6HzXtfKte2DfT/FOiotJmPTQ0y+
YI0LGSD1Rqrk3HnknY/VNV8pFoYDaOR0zqp9pUafFM9w9oKkDZ0uTyO2mV4Vao0rzyzW716MKhIV
B4/MAftkJ1lXbjAC1NI4iU4NYt/c/z7W1ZfZlMbnf354FDh5apaus0YHJy+wIBnaMZL1yyJH7CIF
OrUt9DI7U3x+A8VnNSSq1sQXTweQPuDJZbwym5RNTC07cRcbHjbIz6mYBusiy5rhm0tEI861wgw2
NMvLFaCVt2GiJb/MWQiAzWP53RcG9TSQJn+qLOnKUEe4GvGPoVaaGhM1nCI/7enfHw71DsAT/GJi
pE5WDKqKKEAtLEklqKVtNmKpAXJon5nc3h4bQIWu9UIIQy4VgJOdGTIOyh4JV9Fq4UbDSirGVWg8
I5PyrtnHDruP7+rVG3uyEALR8XgNtMCAN54s9V1aaAObYQ1RBtXTVnbai4mvbmMhkNonvUxQnsXy
mn5gAZOC4MCR0Ko8zGbL3LRFtlyIGfIXerXq4A5+suv8HlcHx+OLRrOu7WAkGhtBVn9ms/3Od+6i
VYMgwVgFrnUyhsylQXjhxVrYcFjiWNpnB03pavvx03n3KlT7+NZpkmK4Pp5q07HXhFNytm1QoqH3
d5A3G/145irvfeAOpnlnDSbDUX6yqixJkdkzgZohbtkAZYsLHL8NrBX0XyHt/PiW3rsYtnU4kOQt
oB44GWBycXSUfAoRZlql19mc9RfNQC3Jxv9y8fGl3nt6K3sHEQ+VIpas46eH97Kb646htTg+WeFG
P+BmrewzxbJ39o/uGphLAXoFLTjrduGvLXyRIolBs8gARlwWsdXvd80yplE9PMqBjLop+9eYImP1
WfC5+BAFX2PYj6/oQJtuLbGG23GgxQkg2ztn1OSZEf72RQEVgJWD7fz10Hoy3xgGVEHcCRybBVmQ
uuYhbq3wD2zxgCXn6j784uNJYKWT0FRZ+WisMCeTgMAXmWogzSLOMfqm8zXEVmDSzsxt7+w611Qx
BoS7DnboescPrlCIzJq4TjAUDtrPnnxGlLJVcrm43XwQOWbgIS/7R71I8lsER92Vk5PUQrkZE0fS
JSRWuN3G6MXPYq6DJwmn7AZfV/550GsQUh8P3ncePxBbmvLAm9cGx8lHWU6NlVUBw2oYUwrqpGMi
PR/ngHZsbH79+FpvhzDVAlhlBHKxI/dP52DbiamJGFRIBh2PuVXT6VOaixPR6jEMwXtMnjJ/Hs+B
v97ZSR5f9+QeIRoK2RA5GWkkvG2d3vqe46ze8VOWjedXzifMxO4eIaIGBHB074Kp+I51fAE6CEBx
N42QpVUxN98/fhysc2/HI6gnWkucUJA+nLKsK9yUvQoIuHX1tGsfBoX56Flvl7K8JPXEyZ9Qlppl
ZCaJ8ccf+B6jPsPptfH6MW8fnHaqyXDrNf22dtvS2eWpIOOBKq7/RJvPtQ+8+NLbI1szP+dOr4gE
8GRPt3rCA83OOHC2QZsTP9Poi2HCJiKBJvRRe2mRD6+HLfQQ9MXlRLqXs6GdRdS65+NfBmC0GPlm
lIXF4WB29d+D0ziPIuBchS1/Fphy/dwM66Svf06NkQ1Xo3DajJ1MaxdhLC3pIF33lRN1M8P7uvSo
eLLWro3bsTHrOUQRol4sTG3pNugNdM0IYOGXQ7Fqr6gddioCWUFmDiiI+acEFkKVDaEJ+J0ucK4R
t4wAd8pRsWfS5vIBlcr8u9dLdCWDHDtFIrouwLP1BQY0TKuo+nUh2FbpzaBeHDYLj7Eh6nCWntXt
LcA+GGGXxm6jcbBMtZn1KXiYDWC527RDRB4NE3t+w58JLfVbDtOhPk5k+za1aX31utr+NQxtaSJ5
nOzLJMaESWDqNO3rttY2BCe1XkiNsGfrMXgFYeXDuPzsLNG+YHcPs7y3IgcKpQkxUnIUNNmxhj1e
/gDXveVVO6fO8TuYeT/aCAt6OwgNI/Yf55TeD+eltJ33mZ/aqJGJLLf2aZ+VjxWI8C8DQo0vEueJ
1Yn8os9cmA5+XPW/8awaP/E5NC8gKZZ7guOaAmTs6Pzy4XhYEdnYeXfb0lGoNrUJ5jmykTUPl7HF
0TGqTLeiQZ4k4ydjEh7OM28wPtdln7Du1x5jx0ObJ6MmLlrjZszm4irGhovSh2jIMuwNYLQHzOnq
wTVi7bveuwqthuFrLyPonZ952+POq30MC5hK6HrjtkZFr8ez7UZ2MXvfVO17sCyCZrn33Hofk5Fe
RPPoLvVWBz3xpetKIlCLOAfP4PnJaISM9MQNJ8eNn+AgmyYOyMS4nl0X3W4u9fF2Uln5o8ir+ba0
vfFHAY0nv/BmI7/ooOiGSy1dxid+w6cmz9FRdz2GkpB6rGJCt6RxBfMT1b7jCrMMW6tp051rSASp
iKsJdXdRgjQkw8SaDFUg0jq0R9BKm7lr4++2XJDmOsEoVJQsEBoixh+Ow6pN95IMKxdv3uI8OZOG
ihnzSk811ZvRn9rS78t9LvLpVz3kKEa6wYDVC50Qf7lRUwah0NV+Lqu8bjZlN0BP12hU/sAFqEFz
r7MepTAW6CUaKrA5e0knCHPwTOTLVrp4oq4yvYOR0gXogPGLYcXmO1TWS9EPDYwUQ1lXKqazvorF
pj8F4tdPhkAIBz3XmUVEwM18CbvMw8FpphgOVvvY7yYw5jL0dC3+4tZJc11DC5+RSsXBN72ppy82
YBKmiIWCd0h1a8Y812grWoTjnhPpgajutLJqcKtShvykW9byRaxlCtG7xoBQokasrcYVcpeOy/hZ
72arXsXaw91iOAou8eKYX70pje8zZm2ipbHmP67W6odAJSWQC2QioNy6xVJ7JAqs2LGl7Omy8+2s
5ZX3qIdTow7usO2WP8fBSKfNnGOlc1rk95sk0+aHpc+cH/jfhjt9bvo0hEmj/5g7UXprak8B1kJf
I5PR4reR32fFH9E7+ovKdfw+uO2SB9RcWc4H7QxuxFfs8IhbX1/CplmAm+AoLWFCWZQVDTnJPCIl
wLskr27sN3ZngxkWY+xuHBxF8xWovUrCwczKT4k1d/6eKpf9yTBHZj383vmj7nfpD45sFNHj2Pa/
o2UqXjIlxifbnORyIOMTxMDsUdpcifPjC7nJ8ev0g2t3ZqLosY5mIUney6qr1uI/DSDaF3C5VvHk
Wkv5hck78K91AupcCCFt83N0Y+zDntA6tIizIqR+dMtnvwTjs4v5TOW9m2QO8dIo3Mw7YwIouNPM
mQyATrewHcFJJzwul3RB8Hv61bU1gnDqGMvXcyI1st+SDhV/b9iAspd6DZbWqpy0TCRaUHqzRmAK
H9q6W/22CSYNbOyXIjdJso9JadzkED5ux7JnrRodazAOpnJjpgorLu7oV8cYuqEiEavbNTZMG2qT
EDJqps6NyBzvRmhF5oaAsiXdVU0BCQ8qk/xRSQfpqeq6+JE+KPSM0YXIuEv90QA41lvp8+wvvbmP
Ue/0kN/Cktu8TGa+NRwh9DOZ0ghcFH7WmrTNiYzaNIw+dUj8Rbsd3ABuVCJq9wcOv2rk78zuzmj5
+Vv8/unBGVNKaj4jBpucNIDxLGm/gHIhqeSxIL8m2zENZOwgvBofX9VZsJOm0ot/JkywnxcO7r9s
zSPLtQEBT9vRnc17nEUN3l9bNOaWZalzw5ruUhbVQYmobhgdXDIc1xZ/X822/8X01rvRXBaOkL6F
dy8Ng16s1OOSP66xTIZN7OnXPYgLHLC61twl6MezKJPOqO9N1c/JQRhT8GUyfZFd4K2XNz5DoAdO
UzbBbVkb1aYyxyrYVK+CocGp7Tt40cqhidmizUvQvzWR2eqLGxbFIgiZMxy/gjg9wmjsbEwrId6U
ydgmg1+K6zjzgl9O781fqWKCvsDy6j0F/pJPYdnnOHmtrqu+sw8sTZQOOPbDacJtFBrObH1X2Pqn
KGWfp+GNl3qGy0k64BM0n6k2FoGJgznITVBBIriDAzc+tnGa3rrkf96lqeGpy5rI3k+mskiEqCxD
PmLSCLBLT7lN7sKEjhG7/aC+seHz27AFSpNvYn1mkdCNrMAR2kmMiGxNhodElebXotMLZqlFFfam
EK53Ww4YOIkmmulmp/pGEPn1Jx9c7bsw6WnqOILA22odlCyDRZMEyjqpdybctGlnWco4OIQBjVvY
24hbYK2bO4/edPfoDjqgDmc0p+SR7yMlZQufUxM1DjNRWCSa/3VWRVpetnlel1elbU8Tfl2h8iuv
Snt0KqVe9hvwi3lxsVq2bwRhSUbUep1w8IxTMgtN1AX9jUOqUsf6VuG17DDyWJtOdPW4NzUl/L1n
1ll7iamlMKkD5j2QrVh38n0w9TaiJ6EwkGhCPpe9lj81cN3ktqefUBJTp9lO6BEr84w/pGAPtDiT
wUalII+7G4Ok2Ep8sjCppqB4QRG1osKCRv/sVF7yyWlkZV6ankwvGwm6Ak9YW+3GIkAFPjJU7nuv
SDEoxX5+CAxrzi/9Scw3NWUy2lQEzJQhig1Rb2aiVkeoXl4ptoM7eKsErcPVDXcC8hhInQorqGRc
K0fzrgupG9XWK4fKuy4bCws0mynBfiXVgiSa5yF4NCpv9neQWOJf0zQm3m6RZVJGfemYgAuEg465
bvz0z+Th1D4E7E5uylrpt06MsYGLI2QAoOWbP1ku5Wc+JvguFhLxh8aaHWojbXXf4tCNL1oz7r/q
bVDfoc0u4m2lz92+mXHfYe+p6E8OrTHJKGE3v+1FQhedfsBwzVwyTpHT6qq67hehJdtFx8u1bUfZ
Hjy3wTNiz+wCQl055rLDSOUNu96tCnPToElz+MJEwZRElqLYgC1j99/GtYx6qnCuExaiZNq3wYt9
Rivf3Too161DuiitDckpL6qHYk6LduvrZTyRmTl1XRgbHSAGZAw2ZmZL8f//72TpC7L4UPMAF6Hh
y64Q8/g4acDN2IeYZyqc77ScKWmQu7Q6CpC1nKI4C/BIasLQHRUKmpudj79EanO2UylCKd+IeQ6+
Q8F51n8MvegvU30aLstWxr9dV6b/XtVZcYEe5lpvlYSeVKsUyq6VEJfQ1DTTfasVw2+vqGOYQnaS
nilhvK0lc7z3cXrSCPG58ZNGkWPFbKetkRvnKBamUzBs5iEf/tSa6YS0vc0z5/Z3ZGsOZD40YQil
VonuSbmUOBuzaG3KSLZLm5iTXs1CCUhhDP1S/orTav7kOjVToFHhytP89g4eAjwBB75Eh2sP2Fkc
tEBWNCn3xeLR3P64svBeocVFx045FzkKaSbHBSgkmjrEKaK4VMKvlFPKgTSQOcy8ydfuxxbNxUpa
OjMC13d6Ul2jqoCOSyeMmKLrSSXPS1gd+aK4qtWIK00a2FqLMScgEBvbbvBcauy+JZaoa+S5bKi3
12bwrzpVT3dWSuZJDdZMgrjwcdpH/ZKry6aY/cMwkXiL7/E72+D4XlYUBwZN+2eLhQPnDH0HTGOa
2vQFjx81yMvAamaHjYw2i0vOO9WlpcfddqHoCZFRlV9ohudnnvTbEY/0FQUOrVmEqQCAjy+q9UZQ
LsurBjgHkVmvJ4OFzQ80hvSavyjP1E3fGfFMLDD6aUejlKDKcnJBPROya5FCDlrT7JoxL3EyYlnH
SUrXIA7cGJOytFkpfc7fODKDjjMNUs70MdC7egeNWb80JHSI0M6CNJpNm13xx4P+nYfCMsgMiPiE
qv+ppm/OJ79NTZmwCWndcC4okOvNdZpbO70zfn18rfWtHg915Nf2OtBXHaF+2l2YNZyKsvaQQE1N
cw0hsdcOua2Bx7BSvIAgvuzkRSwgNikeEUgS6j65V9uPf8Rbow3lG/wfNDABG3KcOOlxoK1z3GSV
lJixGqvLxlxcGKJpZj9VRj8/al1nfJNw4kpoC5NGLKhlsrHCW+H/0jQ9OMeCfqfO6q9ZFCa5KHCK
EVcej5LMAin1almY8t7cduViYwFig9Euhf9QpQ1F7SptX9EeYY61dFMKq9t1Ip4OfZ5PXyfqf1vR
DvHm4wf1dmSsv4uWEyIoHC2nGuvelIGFIxj4AND3jVyQNHiZwguV+NqhXPD+f3y9t5PRSi5GH4/p
aFVbnbyXUZv0joFIr7ye/RdFeyrMRjhr7B7WI0Gi2F3nBeVFy/HN+czF13/8eGhyh0xEdDqYEmm0
Hb8EV+S51cYKaSshAvu+a2FUckQ7M/beeaSMPD4CTDFYJd8o61w3X4xVaggny/5UIKG+J0zD2A31
Mlz4pQtr9eNn+rZPwYpCA4wPBYUyi+7xbcH56DTNYUkTXZ/cOQQPbeq89iJ7RGT2z5fy6LHh8Fw9
bAQxHF9qqszeGMl/RgQkcHOPQ76VqGXCpYvluYn17UTCFRgs7G9fA9HW2/6rq5cA6M2nVGeRlinI
B1G3Lxh5ypZeYk0q/ZTIOYy1ebiuAk0/zIv5x5yyZoOoEjzxSMFYeAQt2T2iSvCiy5YSTbxzhQ1b
hRLtfFmiez3zm995E6tzElszCy3miJOt3RRItJ8JXxPFqvw3HaPpymhmY0eK0nLx8Zt4O6PQjOZd
B2gK+YTZSR4/ngl/XEFWXBrRnNaru14UA7zZppO/8rSvB+xpU/m1dlEfXeaAd+kimVk6fe/MtBi3
/dJ3VeRXqMA2Fi0L86FNgyQ4fPwbXwURRx8cMgniGQklYwOKXevkN1ojLIFSX9JooR2oXpJMwgme
sW8EYOQAgW4SbVLl3jXqdN6PeMDVMwKiAYlwASJWeo4uCSp1e1oVTPG7ru0aXH5tBxnZLxvE43R+
tFtCTc1+NxXdOIedHa8QLAxJbShhfs6XFWCcGwGSCz9+mcjtkOipvNBgP9Fz0AqpbgdpCvPMh/K6
zJ3cOuagtefNE8DkfjLXxHHFcbWBN9yzrdvPWqfJDcTG4hu1B6vZLD4o2i0FQ5hyhbLLdseaOjcb
VIHqBmOPVKRSkY8QNrPrPQ0Cuto3uAryycpy9dPzcqqFeWAvTeSOvPqQ3Zf4lleNSYkB2nq5zeGi
DnQToXl9/FLfTKIULDlSkGSBFYLYxZPtZJfEZcF+E9KJzkEv6B3wkz14xo+v8nZbhWaA89EaguSz
i1x95n9//TwpPzPiESGoiNvrHLSX3A+1GgBfVna/zxZwEs+qj2tq21ldHXo/BzoFQbvZTC0dzSit
nUDbJHLEiU2lIza3ky/z5YyS6e3TwPSGQJY+JTEfzqlYx6W2bUjaeCDecrlP1oQfnQPemSXlvasE
TIOkDLCnQZd1/DCoiTg5HytFpNRLKIIjGIimJQf48/FTXx/q8aBFFbKmozGDeeuB5fg6Gn9uDoS3
Qhdp0w0EQiOMqZRsVTXWcI0TSfx3b8CRA+k0XIKKK5zdx7/gzf4AmwDPE0s24icicU5G16zXk9Ut
/ALbbLTdYOtQXHCaXdOdTYDjWKPcEuwe7E36gvcfX/rNus2lA2RQnJNQxNKDP755wup7oWca/dS5
g0KI8+Qm65r4kUnHeJAxuakfX++dl7qeQtdUM24WA+3x9WK+cuS0FFvGttAvZGn/Unjsz7zRVyXd
8StdTduchFZv5rojP7kKJ+GxVBNxd27lvBR+j7s8DdbKfs+uId3mQwF8FdoUbhsav/W0XbCOqhYl
GGh6FwFGY013TTaIn5ptlBCYaCBeecJuxIHOQvmCmkT+ACMtmAeagar6YM7EAUyaeVt63ujtzDnz
4KEtjTWE1J29b7I1Am0rimKyNwvflMvHowGh6fShotrmeI24axSgvpC4S50ef61pTxkawPi3X1rd
BDKwcJNdNUsr2NKHjXHxohIuYRcjCtiMdjUuWwrPlb0BKp3YOxZ6iK1Ir9wXM8ZXvenB+z1wJpmb
Tw3lH3UlzWJBZS6nsdsiu5YcUwZZGmHdjlUdFlMyfFmQYxnwFlvoaXmaYjDNXOr2+7FYAnYUi9Xc
aVrsjUQ4DnSqBj6WhwShlRVi225/BthfYvg8WGG+trSaLxwP5CcQwnTp/ztb/H/eyf9iD/HXN/aG
d3IQdfK9V8e8E/6P//JOTPM/HDo8pmsU9hzF/uKduP/BIcifczLhdAzd5H94J/5/qCaw4GE/BSFN
QeF/eCfOfzxqG5Q2MNKYTI3Gv/BODHS8fIp/faqrmXgNi2ObtF7JP0WeNBRnRR3A1x987Rv7aaMr
n9J4GQ+0Sp2DZdKB4yyr7/yBjqQZ3xIhoh+8ihxSkGXWzmvo8BZUnzek2z3HNN12pH9TW/NyRMnz
rMNAa6wda+C8pfRq3bSWOR7wKX23/Cy/93KvvXQXAj3HpvFDp3S/qtn5NXn7SsTfe4LPtk3riyto
Dss9lZCOmnsMc72v0ysTTNS2zQaDRqYvg0u2yMm9TBpq26Nj7pc8vhjh+YZInO8dLfiWq5q2brsg
PpTX4OULOL+jtk/Bc25jYWi7ifyYG+muybFa19MyrkGTx37s7coyrvapPhSP0k3YHoog9z8lHKC3
OsfIbcfp57OcINxbTm4Dehwyqvs9umBzs6JtP7WaCZ0Rb++n1kfeFcm+A35nJtNLMbBHLjOSd8OM
He3BF+AaE99LSiDNQl8uWi/QPgn+i/VxtuNMBwP+udBHR9/Wconp+iHivMq01Nh0lH3SyND5xL2E
GUepbK42yeDYUAvTuvlCvO6+9hptmzLVfVsKSWvFUAmMRIolQ+hOXvFkJxM0N43MpGErfDoiSs+T
YKtxo+S5x5l2jYx4WNHulYq8heyCeOTV2ZlLkxylA1UoYSz0BlsfOK4SnvkyYXfEUqiqiw602UG2
5U9LWb+bckFrsrjbEij6H8rllPpTTQCUA0p4My/LldGSLXTA7l1BkXBg2XXAtDhK1PThBGkUXiqI
cTHSgZQP3/uuCf0KPEe4QBwgOHuw9kuHAMdX9pNKmvpimJyfXdfuIUp/ld5yYXrxj6ZI7op+2ddS
P1RG9dgHHjdQjrxV6gL3wgyM30Pq2iGMyH7dfRBFkKQ2ab0ESeI53pgJO1K3m67M3C/3wqiCe9aC
jY8KQTqwNOMD8E5xDSuu2vuG1m1qp/+Ba+uw1Jb+XQaazXYz7RMqwib+lQxa7gUbpoCGIu1pGNGm
+ow1jH/O0gttF5h1eY2Csd/qRfcwdCVyhBkoq+qG6kEqxNv1hPbAmGbtQErzdBv02APYDFhUCD3k
qW6qrmD1eaEEYOr15gWd1mSbm5kOwbKUz3StizB3xuxatJQp+k6PL9yhTC7MuPS/TFpj3cyEqFFN
FO0U6WP7nNf9V4+c4lCu/BCosUkcisn1NjXm9agryFOx8y+g3BpMqB2g9NzyN+RjAMd0mueJU+Et
HcrkQpg0BYu1s9Vwtgql5WTXXjf9VCVQiVD1/K4Y6lwkFMkUzqBPPrzXFb3Kdz1mvR0GJZz3rCEk
w4RadkMLInlciC66dgYO6/hi6+siDdyvGIiekKJ40dDkT1laX0Je18OE2kpkBbXP/DGlj/MqTsMo
Ul+wWbhr6mDfpNx1MaowLkwO+zeLlWYbS3rulS/m/0PZeSxHjqVZ+lXGeo8yaGE2PQsIB1yRTqfm
BsYgGdDiQgNP359ntk1n5bRZTS+rkhEkPYB7f3HO+cS5umnWncemq5wAWQlBhzFyDb34bWw53aGE
JaSYVHln2ElzHwv5NMqzGTLLXPbaZlnXDHuWezumDy1nP8+gDmyrqKyzGPoShAfnbAKipy6CeW49
pqsR/O2zo2ShsOsQ5D0nhDnt7Vo7xwPvWz9/4VghuBk42Yrow61GtEoYVCa/ttKT0T6kkj66Tg+5
c3SKIMkq2GV2YZ7izvDZE/8Im1kmv85hWrvKc+qZUOa0bCFTs8mVe/MKZCJ7cOrNADZdsBeO7W23
mBqk5wVjUNkW88UgkzIi1Kd9MuQuyOoF4gSVdoqEDpXLy6pDyOhY0haGcainMthq5X1VZI4K2zrS
RukecYUdcZy9s2cNLzOjM7OntFrK2K1redgLo2JXjBWgzu0AwUkLvbKOyfy09dVXJ+t5qWv+ejuT
ApYk/BsUOUK3sU/5/Ouz2s9APooyJih1Mz1t/SYVCoHF2FYhL90SZdr2Ok0AUSbJgM+0ivHVcCp/
Ig/PQAjTE/ZqONMl7xAUJGOCMXxog3wasmDYDK+b5uWQxqwfLaL0VqetAMeodytL+EFLJNK4+/US
k3TotUp9X5F2ZcfpsVAafjC58OHwXqS4fZ+1JWObmq6BqYrszUgQwelZxS/J6QOwqiUJHY2NOvLw
aP0w3ZP6jMhlFT7NesDWWrtjOqyR7KVtZydXlpcpEUNUltse3EARGim0gmqUR/hF7XhgRB4opczi
9bTavenmtcg7OFCtEsarA5pG9I3bcgUDnolu83U3r9q3qV9VF2zEY9V39qGmr0B0xb2JmSPez13W
h81YxZzh3Qzqon4giiZgoDUcEq0Oq6Yvo6nt5cNAAsDToNxNaj774zYhiio31Ap6LgcNHutTn79v
NjJNEEgWSaHNcCV6xIhi1Dx+N0gEoxWpz0OoRJaQwRSBaeN4GNo9d4QelRwhXpOozk6uKYk9fgUz
NMEsCeK7ZRBIUpLzpxE2aHZFpzCeCYKq78fOetbyLNTMIRB6D9CcBbMLm5n4ye9OtXzwCtwbafxV
8lkg+BmgKbR8bb7M2BaJ9zK3LH4TEsGqic3FBwbJ8EzEkiFMoeU0yC2by8kUH2nTTZDAty4OiKfa
MtBt7Mk3O4sqEihhKrRI7xqepiUZdxzrr7MYduughGsmHbc2Py3FW1JxYeZvzlDekWbJtrMP9KUJ
jTznZUu1K7Mv0gxel2Z9rHPjISl+Qd1yNafcJY7zUXWSrxRnJ858S9sXzfimjlyupKtOAwnGoxaJ
asKEQ35cKhY7kNecc1EbrphJ5IMArZkoLPcyq9ubefKq41EE6W5exZQOUTqz57A77UKMNVdVE0gT
wZfDRGJv1oba7Owaszzo2dsqjN0oO104V/VnsZT3RMtCbVAf6aDeSH4+GPp41w86dGxxGXhgtjlD
+9U5jU9OcB/gxuuCGDQDZnhjL1G2erWyZn48odknZiS5K9Mk2lrkPKwKPdme6MWq+sMukESnmf0h
EWoe9D2Piz1wPUwNoSyCd21xCxmNLzdZ407QcwL0nwayJlMlCLsOi1p+30SLQMeAPhUvgOgIuY50
CEs+VFaSxxf9ERcHml15HQNLy8S17fi7THIzvzKp+0jTKQ9UteTG7grjaIxNHTrjYGOPWz0z7eId
3MFztUo/xMafO2Pm4UJ6Dcf3e02d84os3FlS3xnSXTFQgglND7Ss6z3t9mNZonujYOPvkL2kFVBR
qZigzK1vpQKUqsin6o0HjeBPqQVtNt+NtvlVj/JjRRtzx6Lth+qsPTSYpN60Tnuo5IGfCiXVnKau
KT3qlfJgT0BoEnWK75V+vpIgfWUqGnYcBmCXbh+ithvhPISkemuRLCfNJ8Fa+SNu3mWf5T8jUlG1
snds0erzRhLtDs+GN+popmQ9rc72VKj491rnvioL0gu2Slx5py52VX4jAA4aHZcqCajyflqLJUAY
gThoUjUYcyxTT1rcg/nSdSMQcnJs+r7YXDTEjwPEXBlL2bo+o9ezfmGPsb20mYtTjNHSv83YXbES
tmQKe/DTGwKF0ffoK8wEGCBoJarfrnadIsMJaJIvum5rEBeYKNIk3WMQbE9NU6h3dEpjAFfjfYzj
K1PI7D3u0pPFTT+0kwM0gSrcJLz7WCl9u+NG7pDG8DMqt8zbZh71T9TKalTNrHusWJX2jY1i0VUQ
f5M8i4ePQGNxhMn5JKk69z4pHNVRdcrpmDUFXCmrqeigjPEAuqYjYn7r76cY9SOD1+pJWhEkm5Yg
OZlgXdInCS7ec1sKIu+dZJcxWSJuUnICrUyyMYB4+2G3WQIYW228njM93Ga98aYq78mJBASSzA2A
J8gbh7Zk2yl09ZMkG+d75f2YUJXl15q07yCHO0C63CC7s5y+p3ahEb6UKHv27vWhAjigkFw1dvuu
S5TnRTE3Hxsy9DrJ6b7UeBK7ol+PJEUztq8LxXnumH8EkyMhQJcH60D0S+rDi1gDsqFXl9TX1Rv5
qV5QjKHznoVh3S8pR5I6K1ZUWL0ejeYMm7FF8B7ZqhIjV19f53VR/MQCcsSnWo73udOi5SyW93Sr
Smgh2CxwnAHsOZMdEN93BRK2rrTWcOWkDIZW2s7F2Du+srUiXPtN+2AcpO5Gc5gPyk0U6Nk6J3Ep
VFI4OqiW+F08dTJnf2DKtBvrXhx6QIUHZ6IrJsHj2VIK+XWeVMUz+nF+2Si3X3Aes/HYMK1yuleh
YjOqRhUHHiHFaCCjLAR3xcD4GAtQCgpIiaCzYrCxBHD6C66se5A6WPWsvPs9acPsATZWz502hJlS
XxfnlQRgSXWH6sVi2/WppFUcFJaQuMljNVLB/iK/F19O3evhvCZO68ZrDBcG31poyYt2ylcjJl5V
0S9o8t+FIxnPzaR0yE6RTA68Z6/wQmlsDLM+xYgwwzhtO7iUknEuUvGUd4DIulk39uxcK57W6n2o
eL7ibvHXLu8PZjmWrtpTyq+dbB/V2xtJ7s4LMIbiAQjGggShUHw0QxctQZiEztGftao+NZaxnOnO
l4uYFCcYxvptMvo4hDmUnkihHzBXzBvHUTIfLVY6p3yO8ymoCiMmWHXL0R2u212JLJx7llq/J0oh
5AaBRbUg/VT1u1np4jd7bEQ0Gajosik2dk7DlSODNowsGkMg3anizmRdo7IaDpLC7xJP5nCYWKcT
+1yYDxrIukhYUxU2K9WuX4vNeFOFsz4QnqpeKdSMX5rdDXeLPGYjRaA23wvOdE6iVP+WoJ6SdTrt
E60VgWBr9FCZX6kgcKG9EHb2lWA3q8ReFde0GTzbjLSh/rVypx+qjcQ5p2mryLH6W/K6QNiqzrl0
coQhPZRqY7gJM9YXdHeZL4mk/uKJJOnIRpBRoX09SWPm61K+XfNKS9744PPjolnFjx7rCylAnRHa
5Eo/kb3BwZqjwxby9qQSFUMkRry8pJXivNXzQN8yq+J9mbJ6v8Za/tHpKEc3J1Y4dibypAgJq5po
HRW/aCzs2aMovxuARVBNWHD2HEvKVnjduI5yIMFa7NzY1rb0/ZYD6upmMhyHFNRHYNqSrIRD16Pd
1Rddui4UtfR1+IvedD2RCur/cnxPyLCA+iiD5qnNurkU/I5h2VA2euShFadV02fMJrVQ7vFzyftM
q9CLrraoUprzVDmrS6u9mlle3S3wwqgeFEbFblnqaeeRnj8/jks9b77Gt0yDRph3sLDKF6lV9D3k
1u1a9T2dqWKV7b7TbFiVS0o8WDqjBHBn0VgXHfbFTzymbAQpibnEbFTgQLlMBuRGbh0tOCxho5KV
6gmR2j6NqPqLmEuAs0sMukkktNBCBScoQKqtymbRLDS0TDl5VrPVDAe5HS0MLA7WjyOcukbyaOGd
X4mzXapYqM9NQW9R1aI/ql3MyIbWyuWacyyfePvE9FLb7PxMrHTVSrn1oRrbn0ba7KfRaTzobDKn
PbhjnUHAIR3lydPKpj0nbb7sCTk6LDkNUy4d61R76jrF0wVWAyLtdgPtyJj0UI5iC9zVzUEraqia
Y9/RuW+YQZ2u80FihZ1+bisM5xk4RjVWH/gt9qoxvOnwoLJVD/IRuMloir3d1QRN3h6DNzFPXg7+
rXJmb4wJTM1sd5jvEkrX62pbvW8QoWDk2y29hUQXrvVGaLlnZCVXzJzVqo85owo6tiXy8lKU5gPZ
lb5azTusVU+6XAWZiG8MxmgufwB0mgDQZhcA1dXY+uaJznAK5cX+jecDj5JMczvZBr4z4DeMRiax
Hc3UNA/OCDAly/OdLSdfc5L+aMq6nvSsiIzVmD3UF7dIe8w2mV6+ML0o3JbBokuCaOo69hoaS1aH
hu0cMQvQK6bG0daML7u/1XRTBj+GXDcqeBllAK2nzp3wUKSb5uW1/LOqFN8WiWlXbuDAatfFU7AM
RhaCRDQkzDtUJpapjhBdK++r24FnoCFHtZavvl0rumua1HmyYX9qbeFnubpjuhdUDpo2G4rMAojO
bVThLW3sjwWNdmJcDbYyOSMUsClE6Pff6mLdb7Zydmjjx9Z5rhF+ehKSuGtHC7jjAf0kxEVzb89j
g22Mb7feNclKbwKrRZeh+JCA7WXaT0/WsLrudBIYqV9kql54zCUkTHS3j7rRBDZZ22pvHBcn+YAF
IgiJ2ARCI8t52qTbbMw+KjNWFAQAhNQBh2uPmz0hvU/t57g1rsBWErcDwDQP0r2mauHYLJ9yWpyT
nN94UBdaATOASfdhZpAw8nW3lBaXe3WXx6cuTSE0ZvFhLrsrlepdoTMkbkozD+rYfhcZvPJtvZ3p
yXWCS4CC38H3H6v79YZRw2/sZzNGHlXfUOgDOctZoRUoHF2HFgZIjND33PovOYlRMZNHf1pIWiB1
d9n8pFT3Cn0/PaLfyFB3aPDgcLDhcI1lY8StazyNVZBM1oFRDfbqzuL46ZpLI9VFBPPjYIIuZ3BI
5h/IWg/yBuc1AAW7iWarxkhaRat2YfJI2T8vu7bhNolvYJwZcFTNR8MMbDiUwGZQ3iMPR+XqlXO9
RLBfXYJimGCh8PAY/l1mu9z1xcC7hppgmBxkD8zZGJTtp4T4M2m+bpocmoJ9vvk5zzaNXhdzmTvf
FoJOLUdqXBY/bRczsNe34Szju3zobpAQQLkcrWIqSMyykxecRLrf6GoWtTEiM5K6Wpc+6BMYLq9N
ytPdSGez4sCDqQRbBMpIEkCJctmMHlIhfMTK7133Aq3TmxznHt++JzJnZwn8r9NY7BAU3ixumv4Y
Zycnu9HLCYmc9dgnLsqZFUyLr63yg7bhk+J8dntFdAGswEtRa/E+MZZjU4IRReKyHRf2o1YsX6pB
nHODkSuH/K9aXu7pQPbVPL/2S3eS11dH7a+1QEnHhMkK5p6SgOCF1zzLw5Q2xWz5R2kRg5Rxd8jG
gQt3kZ4l9ZxJLTsNtP3yeCTiEnYvki4CnlSZ5NjqBMh5L2V2VINaOnZ83TwCwl5IwrpUybproI90
J505FUWQfrAdvKTlM3MHt4ifxXw3gVaRrO1RUUcm/cMuc8KJuWg74OFdTXpGhtSgS+PKPrNScdPx
mItXjiLAtHSIE2sNHB5Wd82oSBd99lcTY/OmXUzj2R57T1HfjfVX0T+zbqHZox3kPug5d5ttOXaD
V1vtrrffellivw6Cm3mHfCsWhhoOGTM3NDNFzZlGP/m6SL3i2U153OTRctvMWZ56fcWOlkAuV9nW
eKVqP02szXf1ol51a1zPou/oQ1Q8Odvwoy/WoSIGWFfH+5IWb+dgWD7oLbsG6hdfSm3l2MTzU9v2
dyKX9p3Ibk91zT9Z6lQ0jUPvQQ3fTjrmuE1LND8fgbnItKEsrPFq2A/5ppuBKa1zy+9Af7eayVFV
xo/a0NCxS91onbUKR+esJ5E9GOuJcZZePmD0/uEKYvphUcmAvDshJcRBWdxO8mG17+N8WEKcLQjg
CwYfHL9sNN7iJJngGG79wyw/W1J9B2zgxnHhXU7BdQDfNvctSYWYoB71gumwSVsjBFfHsin+Fidv
w6CvJ2s2dtTW7OvIoGpXl52oRR5Uc1LVy9Zx06ohpPA16ucFMJymzIGyWE/YSXzb0Y5yLt+37cvc
TUy4qyfIxG4/wXoeAATUsnIAjLWbKzZsNShXLkJ1TQ7ZjD3aKO14xyg8jzCtkc8xbu1Zlxdzj6H3
nIHStJCYpXJ6bRnkMmZBWeLUzkOFlZtexlj4s5RiEhN3WcM1E1fMlODHes3NtiwX7Dl6PNHMkPPy
nMTHXDXGqJzWhD4kFhjBmu5Bcay3PEuyfd8DcFC6DMcr+sNDZhVeyqfgsf63zqQC7Kuswau2E1rF
tlSxfwH4TFxDLeVQmgr4omikYIoWlhLVzFZDxZlNvH5OFzVmRgHEQ2hlMNUSBOaaKb0b1IaFI6UR
xcMQSNbau+wPSm9xpmUnbIoj/GYyhYU9DncJRfPTCt2QqzqnDrWq65I7n5gNQ0WdsHjbWUju3eta
SneMEp4Lo4hwLEVKaz9seaL7gzwysXImpvvGYUvtB42ybuzZ1aJfdtNBy4JKDM+VqC4N0g9P2wad
4W82eBXJMGelB+Bp6PMU4JX9nVJCu1tud9HWFL/SNaZCNLivpoK6CmnOJ7FX1iYeLHRHjBx4neT1
TNr2s02nKDF+DzONqikhcWpHL4/5XBj7ClWhl8PS8bpWPMZEBqPVsrfy0A9FFTp9+lXarPLSWzoN
N2EiPxKdtod/y+6zohKWV562vKnBUPB0g/+Rk+IkWYim6QXYIVRSnR7MKT8wYovhlU9rOAnsw8TA
lV6ia2GzQd4zO75mRaxnjvM+a4QEiniTn5PKBpc7m3ck5lLdmK3j3ToU7NW47qFL4lyDGpTZt5Wb
eOCmzdy0JdyK5FwzFPX805L86I5m3nhxoSm7rU9yrysU4pBWo7srSu0+y+dhz48GCnGwq/3QtdUh
ERrnTbuMfjx2o6v1mhWZyvARp1u7Y2Ch+nMXp77UVzsQdI+8fJcuY1TDHAsWFoqiQGwDu92NSVgs
F8ubWVI+dvM606l14jiXcv5tgo/bY47uDluTUNhPo84Eb1V3GcFdGPpkA7zpmGE+S+e9WIx+L5l2
zotYwR4sult5lysEN4BduvmHfG1Zerx1qB3kjOHrmNUi6BL5mzTGV7BqTCHyPFQmNAeqNpee2YEg
GOz2LWFldFFpN3ybYdTVXkBXMzbKPVWAiZ2J2D5rGzCirplkv8pvGUxO/riO3dNqxe/lKEs7vduc
E6UhwSwDq+8MY53n9DfloWyeGxrgzO6gipLSsscllz+T3mqf+rE19t3IPBsNGBPmVb6ot13y1pb3
janWYeYMzfeAJTBa1E4+qSJxfq1zL702Rb28ZXINa7UZV+aeCdP/SnwoUm3S6mx3rZner6l6lYi7
YCjLDwCsrHlchDYz/GRjgcLUrReB0VpxvotW81NnqgNL7YTHGJriJyscJAqUDBW1OMb4XC/3AFhR
DaizeU0yXfUrq302HeqZXIWuSD7mFPSLvUVJ7axPw0Lalk3c7TPO1XOlyNkHS5QuWjB8ugqu4srk
M4Q5EU5Z1u4t4iO9vMtxoaJkicl3dTUMnQyhSFmptAB5YbVPh1XxO23O9k2a71B1Fbep17mJy+6e
4JTP2OjLAOkDJ1q/qb03p5QNWCJ632m7gyOf1kT+HJgepJICfjn1B62+zaZ4e1DiLySEjBpEK8d4
7OUehmtZNhFufe1PRej/SH113/7Uj0P38zOcP9v/ffujXw3XYZakwx9IpP/6X+fsq2v65vfw96/6
pz/U/58//jPkpJvm6Z/+R1CzMFsfxp9uvdLulH9+g//8yv/f//i/fv74W57W9uff/+2rGevh9rcl
pCf9k5bqlhH6f9E+/4/66vxZ3uARf/5V++9//zfl9vX/yZrS/2Gg4tVQDSOQJwgaMeT80w98kf4P
XCc6qcxoilXEV/+lvdLMfyBaJA8W44yD68BBu9j/yZrSjH/g71ENlpKGamm6Zv9PtFd8q3+WXuHL
cWyCjHBIIdWWGVXy3//iNZAh4UhJIQ2QajPeZovtte6PTEZrku1rxBXZ+jlo2kUpP7f0Yo/PYxMO
hIqba/ogjzktCA7t/ITmmzXV4xwXNDBRJzN7UyPczwToYYgXDbm+pR9vka08bCpQReONyoRJk3f7
1nP7pC4hdE5vOkrtV8PaSAoUZtrP5vIgl6HVPTW48ycLTl29H9j7ay2tNqC7JvabJtoESvo2NNGc
l5y6Df+XVcqonvY2O0jgsK4sSO3rfog08TsYxHJ/aekqBv1Hby4m069MdI9TnftF+3ubDbxrbys3
HE7NX2gk7wd53UtsVvQC8mcSdYZ2LuRqx5qMUPY3u/h1c3dlDcYvFhjSCD0wM32G9c3sBN2qoQX4
YpJ8aoxHOVZDrAiL1rygwAggEO6MdaNQmZuoil84q3ZKi8CzYa0tUvZyyU5ZlD12Cj7EYTcr065J
NPB6mV9QbxBP4CvL72WuQvK1W+thzT50Wkeab715H5NjSmHK4onSDbRmd1dl4Dcd+jqkCXP8Rdtf
rSTqq1Ep/yjbl709Sc6nYo7e0EGggnmcrr+MjSF7kl2cOH1i8sSMPTJoDdkqhDKrgsV6kwlCJDrd
G9s5kHSiWY3hTMiZV7Kpb9IgJbCEhYUDmSfZipAG5H5BLANmzFP7ZcftzcoaWcANZmmOQddOgbW0
d5oMEUr1FbUJ5HIOUjDAswRa0oboLT7rW3AXa445Q5txnKf0gOg/zDeE/2OOEDU7tjKAjOZRE+6S
fzMY8gQZY7U1+/qwX2ykVN0HORu+imC+Nlb3xi/mluHfVwuXnufbKMGOJsyoMWzyVzGiR4EUSo3s
LzR8DFJPxBkdCStx61i/peKEm33fDmRYWahYZrdWy0NivkzTOwxs4Kbnso/5RfkZeBNu3zExPpSR
dQjznKp+L0gs6tntydo+z76sZQ7wFqDwWHzB22a3mpeIzZ8QB8ANc0nuJq4OmbjQdjj6o5oqjtkf
Pz3hrwryFlCXtfZVFVlUVzMisBpfHdlzqDd2YlFc80a1slSvtC5mxy8unyblsS2W++pf2ews9b87
YODFqEgf8U1YfzMzYRlSqTGzET7772ymAamei5l/y7jasVHa1EvC3eSgniYj6qSLfL9aVaBMUCC3
hcyFmesqRs/T7ibKPDLKqHKZ5JKTBD7WkZBeK7/q5bqVwJX94SdVqVL4M4rwFOj1+EF8udnNNEld
4bjqdGzS6yZ2jSWRR5Uy0lHw9HPdah8INFT6DVt+caQmUHmbb/DVyeYdZzy1nUz9O80zZCjS0eyP
oiIaqUdP+Kk5br+mlOqhND8RmO3Xdn9bGjFiue/Ta8Vi2viXDrGbGeAvgtk/T+2/fKh/s0WM1krT
rfOhbuWzPBQXvYGV1xbuhqAU+cBK31/LbwyMCVBRVgSAovoX8nrtv7s4wDvgh7vll3BL/fPFUSNU
tZncj4QrWwG1n4sorsDX1F+IUMrNX4Q+wCjboHQjQGSHbTA+MPe19Cas/cKqDhEH55L6Imcn3npp
RVh1TEgZcnykWYTaRuRRcZje/+Vivvz5Ef01cP1vSuPbB0c+882pdvvJbfVv1gPk9+AOnXJ0O+fX
OJRw6E1vs5j4bP/i8/m7nePPb8SmDAKGir3i7/9CyUgBPSO45S1TiQunS088eyFyLUr+FZ4NW9Df
nweyKwnPoY6AowcJiyLjr7c4dIxFUmMQtEI62bV5tWJln/Wkl7N+mky0dsxRCXtnTKu9zS09gqGF
ioGsJsA06RbzGcOCO9Qbiv81J0gbmmOBeOIP4nD1KieMH7nnAcVzd1ZRWTePeVL5s/YCMZYzePiW
ujrg/PeIcNmjHvXk22k+EiyT3M39F3lKIZOZCxOS3p6RN3eH5V6XH4Q9Bhoqy2R96FKFeFnDd8zf
q6HhHaMh5MUkN8i10X1NTE5lzHNO3H5MlbZv5OW03DwZzMjneSEGqYzU5KXE6zymYg8NjdmTFCXY
wbbflXRJClw7aWj3zB9spGLx4g/THbt/tWEqWKl+hu4RsqxrQ8Yd4ie53Gfk4hhDZNUklKyc6u1u
znpXYVaMk8S13qek283tq2S83K5hq0PBtuLTNF2NIMK42iKHrdmkP7YWU/uMADf5PC/YQdZvRT4V
tvBNhtGp9LTmmcdecLWrA3sWMzcOxFcxC/xtK98WHwHKJEkwhq8/xwLNonVvKewt76chGmXmOteJ
m8NkmU54cUJEsSz+uAGq5nUYaXVsss8UxiVS6/XqiTEsM2NPopOoSAoo7RHFzBqSWebfonZM3lad
om2wD0Wy+H2D3B6tjGTOyChOQmehzEZ4YFtFzNmelPsnu2TGRWgj8nHD1ydEdZYeMebwe3LhEeat
/PIayS0OV9s2jjxSXyrECblUjpsSNIrmOVmUdiFDey+PldBav0hEIRxiCjTek0blvOfuI5nOSE4l
SYGNngY6tRnfrk5NXHj6Pkeq5nQvhbUdZvOg9mGthT3pQ3WDVtd8YVMasHmNLPMyjDpHuRXdrlSy
c9yKqKGWQoZldCRLsA9Q+DjmnZF9x2P8sBRBXBq8M0PIo7eTi12lvtnK5qoGf2wEwrXoYWLY3mQc
J5vicUUPljt7TGvubJMSZeTQvQn5ZvVBIO+mGo+gHSZjOmv66IIJPihtGCfPNrl+wsYtgxyrx5dk
4+dhF1XFpGtpIdkcDEU8ZXwQ4xciH6ovoraINNNlJLGUBCz9Z2s32z2ijJgaJmdv93tE1bvZZmA3
6rXWOzje815B+Ki2vxs5MgfUXnBWNBLo2DlrbPp15KmF7TrJ2802gNzeLx30S426T50L5d9s/2yk
stq3abqD5J4rUnkRMCsMxTe2SKPiImbK3yqHi1p6MrLXcSFljwA1smOdOX0sUGdt+KeVevA69T6W
JZZwHSOzL9TcYa+/oSnyUif1IfGgVk0ebyXlnKP/d+qg6icGxtMubb/q/rUt2kil1lyLe+J8d8P4
jtnzWV8IMcTFD8EpoL7T+kiKz70TJPbLhA1r626s7t9qS6lprJ6cWaRBEWnKqKne3VwZK7KfxqC3
qEwWnRaP6qVEn6GxDtHW60Y5ao+vlnpObqTv6TVWmGETvmogk2bMHJA/4dU22g/1rZEPPa4Qg3d+
YkvQ7Gva8Vgadpp6UaIiRQyhM11/ERIxbbAQ16Z4AY4bzNgW7IzpEMXHqJT3lpUg6l93GgORW5KQ
UcNPIbCVgZJfpaUvYXBYCMGT4/5eKLaXmEuUEwFZmnuto24hKsyEitZ3H0m37hzUFPxrMXV7GfNn
pf5dUytJGBgMs/QdGZg3IHD4u70lB1uj+PkjuTUGbY/A8IY1jG99lSQzRBt7SCvTNdi9yWn3IPVX
wVomJrQASbfL9MszsyjbZp80CDcZ8Z8Bntq0JbDrR66GXkndcigZ2B/Tjqe03LOKFNInuII/fpSh
GXxFuhRz6Vv0KwnbT5OhmETSq230CBW+5plAVYXXVu78GzZ1kAn7bAOVb4cAZMeDtEupahMEpiP3
UEFnS+JlkBgk/1ivxoqKENw6U0oG/4fc/lYG8O6s52PlSEMeJuysU/SIwrN+2dthciJUPl5hkLes
HuPhmSQ7KHRsDMNiiib5fWafVgy4ljtaMJT6+j3Taox0xfyAiDWbokQO2/igDydteUT0IOIIRQO/
wcnqWob6qNplJ+oFMbTST88Kgt6L2scxSr9HdVuoxxZQZ26Gs/jY6pf29n2q8q7q8g8phvNgiA8T
1wBrPS9/EU3PuI/tp6Xu+uWpsxKI9jQSPLQOZhE5vyXwkvTDLo1ALqZLnnWLBGqtO4n+e5jFbgN2
D0j1A7EvVgGf7P/jMOdBue10elgk+vLypDT7htlt8T5ZH4paPisdEjflN7oVd912xAf7Ny48eWR+
te0I9XI30gy2FAkxLvCORdourr2YhijN9rjEXSlGEkdEYYcKo0JUbRBVygFecBK1iBkfGMX7+S0S
WbH8RefW5lFdxt6FpVaS65JP5OVyyai8o92wE+ymrCnxU+XQcZgSfFUNWjQpz5ujP6AOChYbzbVZ
hEU3IW10CJyXXgVHPUPs3Up7lbaP7JPHEcU8G9kSG7ZSYkWf3EHCfz8TP2y90dzfaTZzEvEcLz+S
hJteq/aSPnuqqkMPLn7L7EzEQGrDf7B3HruVY2nWfZeeM0FvBj2hu173yoakCSEpFPT+0D59L2ZW
9d9ZP6pQOetBA4VCZkYo4hry8DN7r81U3QmYSvDFvEkaHizHCapt11HMnkD/75QR/GMO4nzwjYh2
/mnS2BOwmJwRafbgUGou68ZkpgcjeXv/9kJ/lMSuQjSPSSJu3cY7Yt6eGLBzmmwPufxImBDyW0KF
xwhPvBSw/JIQeuAR9FiIlXw+8hoFHRd7tiFf+XQ13qERgaNa8SQgsjETht48YorRcCWkIVmDwgHf
QSXvkzI7CnbnebP4eZIG2GMCrT6NFQ9floY5shJ58pbU8Ep5voO2DPvNcEX0i2wffLLFHhaob8Bx
dI4NTEhbIz00571oHkF6u1iXfASiXPrGruwwpKDoWsv1rNHxS1H2PSJbH0fbzctm17GoIqA5LGX7
LtmqFK2/Zun8rDXky+l7ZSF+jPR0dJ+AotmGxbVP7DlNO4LQ4WWOiOeD5WFGXKmZO6IqMrP5blP0
MuS9NOJa5pQfJWTbrWudqw8VcunQ4UQCE40EReCnoZAYfvYcmSOq8WFUDvjeQlufaFeRE7a3dUmD
vszCzFwPDoVoQrR3EweWWf7UrCQcOfbbSmHo8t7Pc6jOSB34HrE++pHF06FUvFyl+uQzQiZNhG/I
YSzkkyavcBwIU5XSUDffSvtxELo3xjz+qleuZj3ylEXe6bA/M5HgETb9PIYiEL1jL6HyLPf6Qqtc
r/5UvwBqCbcotKJ+XqtnmgK16UMZU41erJxhYdd8xGDDq/FSrtIrmvDjoCunNnuN7dcyp6ScRmSW
F0DgpCj1xVWaujtg1IdVtIR4TDuGcIZeHFF5+WWVPvze1f2lyTMjQP73j8PkPw2g/+nI+U+/a/dd
332U3/0//lH/G+fSOtOUfz6XPqffX4n4rnrxnf55nr393B/zaec3k7UV9mADTtrfHMB/zKed3yAh
/I672MAItMw0lVXdieQ//0O3fmP2jERRh74Dl3Ab+vxtPs0vyXBZDAKI6EXhtFh/ZT79eyrC/xh0
yIqpmDKGmk3oZ6KG3wYh/2M8zSHC0r5rTbdRy46l79KfWKRekZDn/hQJGgqj0O4Sg2We0FE3azOS
QK1acl+WB/PJwhHiQ1ofLmuNDpjYYk8V8Sd2x1e75OZUjVL3StO4OqjsQH833ClsIdfEldK8+5Gb
k+N2ha0e8oZwAjtr2DVDb2U4h6iQaiON2q19rH8lRtH4eo09ZS4LiIbSsD5LZV0B8lWtQwNjih0z
Q6EqtqvQtgv9ildy09mUvZ/JyU1ixMvsiZ4kVyZ2RJvNR1RVEjoYC3dINawHvaXs+7/75t/a53BV
/qv7Zpi/y090sfGfljrbD/1x05i/EVdDayGjyrK5ETRupz9ums0Zrxs6sVjONu/kBvjvm8aQ2ffo
jk6AGvsAfLT8cX+/abjXdBwg3IbOlt8FEeP3bRnLrL/NtNiD/dNQQe3/89MTAGZwr3BnA5ICjfUP
s7mlMZJYG2IdAaBAHDHMrNhLuBZYtrqvtmHZPjdTuU8ybDILIxVvk9MGpE2W1ExlRmb3WgZ9hH4r
JfMNSpFjvzhq8Wn0q9ityjT5WsPg24nFR1qaH2QRvSBbfFuJ+05azQohOf9idPgkL5CwcZFUrpKg
elJ5VhO4eRaJ4RytJX6wJPunvo0xe71pD/PaokFKEstHy2hSRsGvYeXaQaGNPtvZmd6E0rFxWJP0
cZ7SxSN8mr4u3sRCClhs01xQ7UGecKF1DUGFu4X3iQBvqfo1tGMsuUld6lc5otyOGIGfnY7Myzjp
M8YV1Q5pw7NdRe9xOYojNM/7JMJfAoBJsvFRje0uMxYeexBx3TxF0gey453s5Hs1AYAz4jUA/1wc
8btRD/R1MCvRyU62si7W7LCqy0+D4Kgd4Vls8zskwZnqRMTDmyvPWeo9vpzWbRsWJ8gG2AuUhsxb
sj8mQV8zMmRjqpqI4zyX8akX9nvTQ1KdrU79rBHcln7UWcZe55g8JexByKys6b4m67mSi9GtpHLB
WiEkr1EhyGeamnuKRJO4YL8sbenMbEsJC4gDd0yzFPQDbEtoHCafovoh0WeD1TMM1aaiqYTWfCmM
PuOFUpxRQZr4yfrSM5ruRVtUZG7tYvN/mz7AabEsLuzO4oWmezBeQIc8yWNk08wh1iyS8QUtkgiJ
6LsYE2q0CXXGnRqlLbINJAB80rAJkoXpnLTsU+RZ1DXYTBNl/CEmkA+62j6iJYwouceLAALs1lXF
zqijqE2bJWwqLSRKBwq7XXxEG+QhUs5Gizg5U0gmQWZ+t1KB+X2kfspLbAZDm/HpNXXY6PLbAIie
I5zg65LkXk6CE6781aUpRTbjKJ/dSB1fVOtViqtnBi5hXpvQHma2mr3xA+lqFILUn8PFYG8lRpb3
dYMvAFS0GpQaUoupkfc2fEimRPrPeDLwnVfTD7PXdcZnZNgnlITM6ZiDON3w1mnxU5PM0aNBVPE+
jTMNtiRjTc0x/UUHHN3bex7yFVVyYx7q1kKLyruEw1YLjK6FDu60mfuDXCGltdPurSd+mmEVa5AF
980+G2AEdmI8yuMw70ehHeTMtvckFu4avM1YUFTGwaL7FCbOYKWqB7/evoQ40Sb8f8wq0tF+l4f4
yx7b51FjoAqsAlFbQbJoz2tiS7WSSz2g2U8sXmcxFneEfsBJ0/mg69465YPiHEYVRMYMcubYV+o2
ujYBxhog0LQ5QSKrpO+cCQlifb7XZFZlRg35j44mP0x1ZjZWPz1CwXhL0wkHdLOS1jlqO0mjI8LE
k7ujshQHzkZ1p/c1omWDLAvGIyQyUI7YoS2JO6NbgwWPvidWlNd21TB4I3gcEhuP8hiQEp9arj8s
Vm88WVVlU1rT5AxrwUx55fT3FWVhIiYO/RYPoEgmHtqCzlrNcRwPY3pPwXVSK9DWmZSyrfnQp3V+
aOPiEGmNis+EqBKGyLHrrDLjRFXcOfHy2UUTYw+xMuY2ougn+hi04iSmtan1TALOwJIQyasaR8JN
qUCGyvoco/Jc4NdhjMPyrM7YGEZR+6OYnNyvpgQWOAvhspU/EdJpu8IyobAUWRRG5CAVnZjxMA7L
KbMkg2nByPQ34vUogDP3gIa+c8hRTHO3hA9tvMzq/LNeaEk2Vrs29fVBi1MrsCJEUv9XufxblYtB
qf3PK/5LjYFo/LMWZfuJP8oWjQqEAMeNxCyzPNwiLv+oWlTzNy5skIqaDGaPop8f+Xupb/+mo5Ui
PlzbFn1bafLfVYvxG56TrXfYIuhwWjh/pWpRGIz+eYsFAwiDKtQsXYbFZgGu+nOxD/8fNEfC8kA2
xxPskHIK9H4R91newgOcAD9KOwqPm6TqNpMsiyTKfCCrZzLFNcekQhZuaspQ3YfUrr3cToSKsSSa
cUMtR80sslCyx58arlNXiIzU455ZDwpqzq9+Nl5kzGVe3TUntVlocQll2FEcZQ/rWCFHr/SLYUrO
rsgJ5pZ7NiddKTFOnuaLYi6PCP1/Rqo+aiAvKa54OIgJ1zdDI0hybbvqx4TjGj2WOjyv6CvvCD7r
feQDk3wzsMRWvhKPqDszJCKcQO0kia96JOznKV+VImGoWZl7wDW5hyq2fFrL6V2tG3t2hUqh466K
SoCF00aLFSqjI+85YoH6VIs0kBRm1K2HjJFcMLNeLqPavoillLqdqi5Q3uo+XoNxNiL0HpLFaCSd
04MiDRB4zMzs4X8QKpH14lktE/WHHQ/6eTZ7TMaTo/CL8RK70BOcgncLUWjQBhQTyBj5wj4KsPMs
QIh/4bFaWddiLAu07XNkkqEwRyzIy+YTbzFTKn17VjTkkwlDiq4xs4jx2MWO8WyU9KB7CTcwyCAr
mp8QCxj3PSJfbJqGoXzJPJl8E+6sswVOEDcldI0Ki0SLoJCdkVihAREdW5ninPSSgYWR+RK5tcaG
WdOzoLWb8YsWMj9kA4+YtOuq9zwyeEDGQDBco9tqPWyfp1HghE+yTrqKHKnKYXIiFCBTSXo6XcFz
tL34wTQ9Eff0o/0WztlB43pYnFsd4+IBVzGy3kZJ+a52PfzSKfMKRryXfJwXMiOaNgUswUKMGWnu
ZXSfHhwKvnEJoYpOFi5Qptjcj9yOrkpumdtu+/eox4YhOqZGpKksYV8Op7m2f8SmQKKwxASmyDXy
rmoKpSmF1tDpftwuFzPf4rMctPW1lflTMxk7R4oimuCKVTCK5cpCNGFmob6w2bd7FQeuZN5HmyMN
sMqZy8vXOpUpL6lfQb6mCrYd9hwSU0XfqFbciCtr1ZqrAVn7smswjvqtPoariUmNHbbJ4GuFbrEa
gIwamUjkODtPIjo6+f1UVAaWSugWslg3na7Bui8S4mi3uKlMbZCOQmU3iprz0UhAGkO8b10xkKZW
OLPYk9D9ohAHoQsVLKWjbAQvdi6ThHUpJffLHUXfxP5s4nFqinh0Ld4EX/Jykuz62i/pdZmjM/Iy
261HMYUIW7yYwbXBbJUQpWdHrtLnqS7Sw6Sz+GO0bC0wa8bW3IKg8OTFnbp5rbAwJVr6a83W0uvs
6XNtLGwGY/esdmTrdS2KLSt5jZ2xuNSt4Aop16YDELDRO+b5PmnQ3OHkXg5xmVNELXKYmqb5KcaM
IalW0omweIdyJYl9KyFdAWrAHVhVxnNnK3AN48byGFimXs/t9suIKpnIOgTPDCzHGfd+LNeTb+ZZ
5VF5jmHTM3SdovRuXbnVUe4a6Pnobti52stYPC+QKnIIL32DZwYj8rWyNR/dHpkhY3Q2l4nhcV8a
QJ6K3awhZ9YG9X4dpfVeWmmi0in+HqamPhaJMe3JYjF3BXQm2V1Us9kT473cKWkxfWjs1k4t7uSi
KRKoMo0dECoz1Jd0wg3FLjV1XozG3BS6UpE/CitFoiNVc4EWi3SNMCst1nitrgSqkWf3XCgEUa1C
fcNAZx9qLu5gnlr9HrsqCsRSNPaR0KbmhYw+CCxpImtGaHCK2kHZMHG2VRozFS4D81+rUORg6jqc
IwQyug33RljXiXIoaGOpFeeCy33ZyvyixnomevMjjpMoRPu8rfwqY2/V6DBgFLENtcgD5chCiBT0
hjJgW2RiRIHllDt5bFjajnPEw2/AOZxb6l3TOs1ZKhGDJ/QgG2hSPw+OFgWOzCHXjFPMekbt/LjT
hwYqFeH2aWJByaFZ1g30Dlb6bi6rdW3ngXW2UeLlI0/dw66LUWQ1Ln3evU7LYSx45YbZ7TWlAtJm
ppfGNG/10NYBaYn46ItxPeWSWlztqdK5AiOWbRrxDX6Rw3ZqTVY49mCqvhpnpggrrlWBSaxr4eJU
USwRMtLXtyJWjBDbYHRbe86zVKuwOWu+ygwbO0d9TluDa7UESDTORdDpZXMlYyjMR2nb+flywXYD
jqePTDYOlmTUEDnl8zlS2yysBkSYctaD01Fw8/VF/BCxZYAl/QiI+TMly9pLx1Ha9xZsF2PuqWhJ
6Sndbsmcgs2KenM0Lr0lae6A9N5Q6jZHrUA5OMyS/pgV7a8+V36NilKfGyIOv5aVyB0LGo83ZHeW
PSe7ts7NvcGV99BKvGmQPusjhFfmFbNIznFVSaHVq+reMbPybGm1fKOzJs3HgFJXFHzwahm316wq
m5tUoPpDN6d8In6khK+ikRCDLV8v0y8pfk6nWuo3VWkTUqh1rsdBfemklR1g3fD8SjO4HL2+bbaT
aA8se+VsaVrkBESrFphZXkhK/DXQOMGdmIQ311N0lzZ5Cy2VVMK2hDktTPNhJCiOP3JI9qolpztT
IF9HmlN8jhoDhob4tGMrJtmDTNRfKiM5a+WEhF9uUIAkyUcidc2jLI/ZY55PzckEJMJ9X60HuaFQ
qgBeXTRj2AQwpREy9X0rUu4DvqQtH4bML5cDyz5HOl6ERp6PtWxlZ1nmQZ7SHB7MHJQA2IPiq59Y
v9WYDojfmZ6b2nrJCJ4qOm06jgpJlr3hVDdrjGZizK06EEllPU+TM10rCuMrs6pnEs0IGtSwluvM
USQe6w/SEqWBHI/1viYi4YSGOHu07XjeWEcwg7B5QMiwW9bTE8ktb8BuEDQK7g5jly5pc5KcCNm8
gBXJCMlg+6aZbHWVFBUhvPbpxI3E/HjLlfzIDRnved05HysYoVdlklOSylZ7OgiGJQE65PVjGjW0
GqA6hveyx2Zszis3n5jrF5aG+m0hNo+xm9EfDcN6ZugDQ5On+UmxORdJ/pTvnVZhgNH0CZreJYnf
JjMhiBEPQ9CIfvXLDrLUthXN79ahbPerPU+/gIOND6NS0aK3TKcjyVmChF/+WVpDewSdn/xaY/Mb
YDVL0ckku3gozRBXjzjL8WQ+CM0Q0KTweetWg2JqhKnkqYvOZrioJXUPUBrn1GrY0kUkuFF9szCs
p4zgP7fJJg5BGau9C6vN8EfwI2HVqxoGXYOWAXFFlh0iw55PszC0o9Und3M6dHvT5mSUHKQ9Wi1Y
TI+5drd2rfqVm1ichcZOqRJr/4t7hLgefZWTMG0tSFKCyOij2c3gqazNv5F/C4OzuS4080W0Y3fi
+msQxYjPjE3zYY4pFzILP7+kmrUP/x7RdG4Mzw1TvVC30zc8AjOSGWcIbby1MSbreMRKqssHQ5WP
hglH0K6taJeofbNrJky5a34uB7XlE5T7J1JsHluBjapOLjzvXJFlN7wcQBKl1RvW/s4uULLg9bR2
sWo5MDITczdX/a2y5QFKx/oBn+cuLXpwLAI7dEMmFJUtcl+dmtKbZJlRGPYmSe+pr1Ur6HUwI2W3
owRJDxWjtY4EiV3Wjz0mFT0/ch2X12rSpn07Qo5W+P0nSXDXAb/BhLIoFdpKy75PyMaEP+mwtFyz
5II/nEld6vThslbOPsU/5gOSQqU+KxxyyfxibCZqSh1Ey/l4lmxKumQldnaG/BmN6v2SGeiBWqhV
W25iYRbsfKagxSgfylQblZwT22sl+REq1i8la45tAjwooolA9gZ9JFnb6LBMig1xIe78Mh+Lo8i3
HA6iRI9oGOMwz/Bp1Qlr2XWtsDeoURQU1pTuDUU6SsD1kbRh0RuNtTrHNSleumGMkLS6TyVZdARj
aOpzrQ+6zf6vEoB4bgdtZL8Ljnbhfu6pG2wTpO30IStKdilhvl45iX9UAh8CuJxopwqVSmuBZ2gt
+p70ntnnN/FAL0TLnVNUZ+I8GBo6RLzEIHpsmUl1Z823obedfT3pT0Wiom1enX23sQS0wZtsuFZR
mzAozjBEQqIRnCeOJplnxurozfQRUc/CB9/FMeFnIF6heMx9OK0SB2iNrt5IpHVPMtun1IKgYzCO
PWuu7DOC1Ohq28ubjbEeltZ8ZOTjQ/wLeORLSQKIqOv3sFCxMJQY3ZGx1buIXF7SEZLAkBRoNrrc
7mdKfvwaWDyLpXlmIjh4ZStNe6cXoe0kyXMh5cW7E18wBnK5NOZk8zeN46nKmVQLs1e9KEsECrXo
gWc8Yg69PSsTf3DfjDxtwKDGfCV45dzRkoJ2qPlKq2ejzXjEMUujRmn3NSPRQJ6GcO6ckAwCidu2
3BVavoRkt70UGeY8kU35gVnbcJIGqEmRMNAu5GxKBBWGBTQhV/rjbGWhmlvYONaswvK1bhr94qmK
pUCSKfOjMtp3I1kOeiTYQFSouxQmnmSj9r4EGADUcZf77aIWoSQNCTBhlDKoP2qUgsZBRb6uVaI6
ZosJBBKxCTDXfnM7sLZRleq2FE23J6gSO3UpUGJmfbQ3iQvm5Ja6QF1q6k2LWnklGKJaDtn8O5sD
g2oqZT/nRLv1elj2ZnaLDTnbT0Bi9nkvXrtGkTyt1N5b3psPctNERKg1Z6e8DuP3RK/qSpqBcEdV
Dk4m++0WMtc1r7lJaJ9ZvudZg2NHBaVQTExyAN7JlfmzFuW7ZKkjP0InrJbDMxIIlSUItJKekCLj
Mg3OXWqbP7TZ/oxiB8lJ3xd+YZgnsTl4x2y+TMx6PCdRZtxJG1g5M+i4u/WgNdyVUoPDgye64yeJ
PJ8yZRbhWLQaGnS78RbGv6jN2R6sMfoa3SAAfRk7vOGDimamGstTIsuENhriXkB28rJNPryKN0td
cKW20+McVXrAwwspErxVlxxefCPthJQj7T1jxDZc9X3IpxBjn1aCIcnjoLDXw2oaQc7acG8pQjA/
wKnYMwSjnEiUfVLXuJOsBYEaM7FX7oi7FCpzPQ97oVrzRn9fqShRyDbUqYxroLhHI/nVBL6yqXix
nTz3QQpMN5W5FSfeStKvUp+KCPZ8mzgZcuEF905dSm6rlvVJKWdnU05TzvQdjYoJJZ+dGropSPoI
f/qj0rZ2sGR5h/akvY1Jfy2b6Rqj/4mhtAgbxxGAlYlMYGs6ct7EvjXNv4/rTuO2GXMGgFMxxy8J
Vk/AqS8J8xrsNqgi4VJK7rognxaJYuMAq/W9XRqARcfyocLvy30C320az3oz5XvFiK6O0xDe3NvN
Z6MiZdXGJr2bmyzZS1L2K7VoYgetaQ7tCo7TMVZmFGzavdkA3qstHJkVsghkwNX7mEy0Glv0dyp0
6ahIsnkstV5nxiJ9KegU2FDUq2vV7B+qDb2W1irkK2XB+WWsOL5NpQ+glNABYL65Rqvs+A50qK3p
yC+U8VtHqj1y5d7b9hAueSQu1roS9N7EYxBJGNRQIzcY4dUnq4kuU2EGUW18ITAAmSk9wBdM9q1I
H1iSMXqUi4cOk/lJLZbDUsb3dl2h2S/L4yI6NBHxi2rKP2VceaFCnqffsanz9LIasL12qMJVjkN1
sPODGd13UGGpUoGUR2V5rxLiTWkndobTbjEx8i5JkAVrIqOhsi+AiwJSDXCaNNVDppZPcWcCbrF5
KRNrGb+gR8gHnZjU+cfotLLbDJj1ZyDhXhezBQCV4CdWcXUSLHJjW5GMrQ+oO2b9qiXZ0RLxs4WS
aN3kEMR84yVhhaKvpoxc0vlVIUofkzwYAbBRXoxvTGv37ESuqzw+4FKwfKn+JiL+owdUwXSK7Ygc
k6kL1+bBJg8mW+1PvbfkXVkvyERsjY0iu7NwGOOPQivCKdlQ7Xp77DoWXhk70lEfVeZ3OY1MwuKn
lOP7Ps03noD0NtrFu2k6N4bTQB2tgiBSaKiAsPyF9HhXTcrNonYvifGFscTkGg38uLmClqND74ae
gwxNXbDTF2se7fKluooReZ/1g1D4Xx3rUyYEyG+JjrxBvSGdQ7WKm+qYUqgpRbtLMCazagImQ3qF
Ky+gbZsUU1UfO6GJJwC0mWskHUYzqTvJqbgMBf4lJW+/Z1W8xF0PEF/9wEjUExWHATrSVcaEqbXv
mMb4GoMw/ABl6/dFuXojwIwind83llZCRq2LtxMzgsi+RquxuHTXxp/iEXkeKGcGX8wvWQKPXqWK
MDYBCSyZfUBVPfLIH+6LmCVpIiPUrjUu/CITjwWjFujOuP2WxcT4IwhFU+V28GaFwTBwNQWUtQSn
o2ifpUl+z3WKqQh811OhNS+0bQ6SfNPidWV3bS091qv+LkT1ZQHkjRWYBqY2sgtdMGAjgovIA8Z3
MmrWT0u20HQSP0v1nIXdVF7NBWPQHHPdMrImQlqp7iV+0ANRJcMHUA+RXB0rAzsqewXgN/x1XgVR
BRH9HAOiXZRAg5lKrU76r7ZKsb8udkoWZMR100o/9ai22KEj5UMvjv5WAyG55dN6pIrooG7Ej1zV
KQU0GnMsrWrDtMHkb5NSnmpFgYGIm85lQ6hikVnui45tY1uhMS5g71Qd3gTH0cIkw+QJOBZF7uK0
/tRIv6xsPMBF+7bBx2ImukVzfuis4QP/BqrVVXtJLfgqJBxdF5w/HSiNYRYnRYXDuk6sSAvB58hw
e7jmdR3tSeeaeXhncliOQ4lRH3NhIkPgcphgQYUm2DhTeJhac/7AzMKVMYMWkrLPls58yZLitDTy
J931tEvxH87jLnG620a1mMmFOo1jvI2PoyN5iW5ffC9K+qU02TExxtch5ttqP1LV+WGXwztZAeZL
Kbrat6zVOiKeDmKg7AfR4j3Ve1bPyTKg9pUxEbWGrvm9Ve0VUGuzMF8MVf+E3PuSZ32yZ8cE6Ki1
96tEOVB/k42rNknBfqPIfbVb3mHw8bzI1FdayZJ3phoABleoLBkduIAB4HHp+5OpHXuz+Wp4NPqy
lQ/HArzgLldU46C3E5jayDH2pjJdJwZ9H9k29G3L7p5UZObzxZM9afd2I70auCfdJt/8iDIpiG1D
OWQY689EBowUjRLfw/Bu1/UI1nHbw9qb8DmJ8iBJDbAXEkEY82qzm5X07sR4/TQXzknXnDN+WMVL
rfWtXlE0qzWK1Nri6VhaJSrcUmq/rXWagcx3CZgK44qaPHP7KL+fB8FuBrOIMsRP6Ghv5aDf5oyD
WoGwOGK/MOwJP2ppXEXNRr8yEHL0cqN7xWgubjqJcm9TcrhS1iMUTanVjEm5H4d05S9PWBonmT+k
AOvApXFxOYubNWyqk97SkBKAt5Dt3nlImFcw557qa9H2n399tfzvKUX/Jezgf6Nc1GB5+6+Wx9XH
V/0nydv2A3/sjq3fuC4sh10vMVwsaDXUa38sj/kVGYPCFp31uxdUISjm78tj7TcyP21+CmciqWb2
/+MY6PySqlu4Fi3ACOgl/lKGDNlyf94dQ0FWDZgCsMYhJmDE+AfJm5UwAIjGBfG6es/cF7ze6d7w
gZ6GiYchfH/hgQ9r340fbU8+TkHlU/TsoPEt4crROy3u6SUeVa+svZ22E8GINOoV8dZxCBH+ZOH0
Sob3cQzEEQKAYR7B1FPV9ncvfYCXbg8EKrDDtTuDq3EbLSjNvVq+yMu+9DSUb9TEHubK8jIaD03q
jrwwhGzh6NtKMIdgaeN3wx+8+4FXcT94jPT9YpcczCDZ4fR361Nyr02euZyHE3r9wX0Z3OQs36n3
xQGv5ZH+L1SPzdncqbvGN95Okl/wh0i+/EPfd8ciUD/TMAqG/cvkSY+aq7nb30DjaV3J4NDOUQiu
KLVc+WF8Uy+DN7j3kdcHyhWjo+G+HO9fXhz3ctr+ZfG6c3Hog3fdI6DM7c7dmaHcMS94VScKJPc1
fHqK3c/Zb87CHwJwi/zH/KUlfNJCA2S5JxnGHP4OP0V047jDSxJWzBH4sy33PXWf+Kzc7CB8wX+b
fevLcSWXoCzb/ezeND9/ED6IlzMinLvFwbD0rCBQS8FK7jK0jkOMxRwzl3bffq07+dDsxWnb0DES
1kKFv4SfOxv36S32ml2/H1zlKlb2ZH0AEVC9ssMZ+iP/M+3rZN26V4LifdtPzwSDhMkLeXCu4Zvv
BYB5VyO5ENkYzxzGnbfWLwpAwq7Ue/l984kNhFXh8N1ccdXo30bY3g+7YVf44oviqsvdU5XytcHS
fZ+xPUmeAmGP75oaZf0eL/gt8p3mZv2OTvJHRfPA4xNLwx4eknUZPTL9MHURnYb54oBEJzncquTw
1s2H5NeA/GYg88PNwjgQJ/mg+dq5e1veN/8CmwC2urXrtHvCDFxMIFCHlWmH+cg693Iwjj/W2DOK
O+c+cyW/2dk/mktyVi/aY3eedsOzad2kT+ezXmVftlNQgC41Dv8gH/M7wEnXmn/PpMs0BTI8JhZS
ICxDgDY4wPnnDuIE3Xmzm87WgcqMdAoFP6fjLyw8lAt+AZoBIBrDL7aaFGio1ACpNU/DR5K5xllc
mdN19WFajgPKs2Sv+dExuWWH7IymY/iFZ9Nf/c+VT+t2Ox95/a0nP7a+xBFQI5Wg6Hylhmye2FNr
rIBotX+Z7+aF5n7HjNBGAOlJAeHZocQFtslfGdh/9fy07Ss7n0lO4pVeVIfxPb2goEWZfAlL7ytX
XWu46Q/lltPsv/lsmKNH+SsLXWSCLgyvvX4ZNQ99GcKtL96Y41ZhEg7hbdmrjuvF+Unme1FhUXI4
xHfaNXoGd+tvd7CsPeMrJqlOdvtPXhe1a+U1r8DaIssbX9kQ3uLT/NO0g/Zb+mQkTBFA39lrkB72
xq6Kf7QUkcuTqvnKfrlUoe6FS7AEI1Pkw+pfm9A4fcJ+umxQjlP2M78zj1Lqmh9IUtz8G6OWxDjM
s9+KT6YE3V59u8UX54NMxg3tfVMftFvqIPJEtPe2LgfhKffaRX2zz00Hvr12p8H9kg/KerGvwepZ
O/uVZKdLeWY77zaf6u2gPewsT7lLfml39g2gbrA8ase79oCcJ2QNIaMTzg+sHfUXveMNdXdby7/P
fY7l4OMj2TPXcQ6y+5js69sxCzTvR9C4iXu3+IGBODf4YhPpk1L+Uz3zT67s66/Vx5vGYc6UHn9N
KILBn8Lkg6G7SynnKt4czEGxN7w1mM53aqh4d9TDL5CV9Ot65C246ehBLzwPvgjsa32Q+S34A9zG
Hf+Lu/NKjhtZ2/RWZgPoAJDITOCWhapi0YlGlLtByLTgvcf9rGw2Ng+6z/w/WazDmj53M9FGipZa
CSTSfOY1GwWq58Lj94AVUhfZnbwafR6Ivz/fWJvsAvElYiJPHJxik96qr+nBCa6635AT+Wn2+ysk
m/Up7rpPqyTIdbYH//pJb3vOxQEy10V7U9+MOxqcA8LFF8PvxL5qfSTLKYgum3kH0K/nh26bH/jp
DdqTQPEkVxUq3ijbfMhyH9yMte/nHeLWzQU1330md0bmL+5mYnmat87PkI5jJXeYP9zL/VfjFslB
33N8SLIgb/esSl/voW/738X35+QiuXraXP42DkXv29cYEe2e7zDUkfEG+IT8DnXy0HBv6lvrLgXR
cg8Ry+93tV/7Yr/+g1jfg642xjfuWB4f2zWAyx/x28Bt09u3NzyU+wWo6N14Q/NfkYtcRAgIfpth
O/9alUI7X+F65HwItg+eT3+pv8gwIvkwhJcOMlvchxmPbKBhRgzr7irjUgyXnm9BG3VKtF6Ni38e
QP5fsJH+X+IZrQJU/z5whKPwvfj1KnBc/4e/A0fb+cNypClchXXDX5SE/xM4rgJY9sohsjD9MxWJ
138FjtL5A2tZ1yIy1BgkEz7+N+rQ+wPehcD0m+4urCBiyiNuxHtcCWuNC18RjDRUDmCNjnBNAU32
iGBkkvU0NHZNpPaqZdmKJTG7XWKFBc5OFJQobegWO4cqpdCz1CgOiDQV0x7f5Mb9m43zb3kbUEOO
HwUfRMAlDrQpOCVHkiEDmWHdChNybtbMW9h2RGzNqt8d2n+v0P94JGL5l6yqtgyNqgixdwDC3nL3
E+wmdhQ9Jg0Fmhcr4V/klJeCK3yoNy+FuJ9w4aRALVXrS78gcGXamlOgC8CnaNPvF0rRVHScyvfi
EYGlCH78NLS9r6Xngb3ygq/vD39qTl8OfzSniwO5U5kMH+ko/iBEjalA2A+PGj/dM5N6pMGyImeF
BYtHWcJyLcs6WknlhC6uREpxQ9vcxcQB86eNcsHJoL7i4QVDU7oxdu+/3vqhjlavAImAJT0AXBoV
R68HqCRdhfsJudIUaBte2+PWxtwWUznswY3UpHQWoQ/1/qjr7nszrGt66DnZyuPF119/8VGx7cAB
rge2nttD+dlFxuoGVYQl2bbDqIJdKSb8MRtd2GhDuNSbHQ8z9EMzN+7wbV5MkiMZImOzzU3VIPJR
FItzQXvdJSkb6M7cVqiLEUrPeM3eaxAA+syiPLUqPDDGyO/hC2yth9XL50eZuwREifCYdlL0+cs0
SC+pL48TUWFfnlmC7l/TcfSVUF5lqljiHFri6CuB4fTokkLRL0HlcIErm5gv13H8AGKS6jqIWTTj
Byczss1IlfdGy9qGbF5JxN3jJaCsGRqoKG+gboBYpssPId0Am+2PugPS0ctCdJcDKwX3l6ZD8TVZ
uunjHDWI2jDn+BtOesqfl9jBbMwLe3gviewKyvE0u4bLIKDEaEPtoQ2PTwupRI6SE53RAayFBhvh
z8Ll/tQV2jmXxhBQaXOTeqh8EzHS+L4ptTNeVjXMeHC3NZq7CKkv3wogovCyE7L22wZP0WhDed94
auTg/OhzGVW7AGULicgBxj8bUUMrM4OKvpkHWPCnFZoAAZzaaohN3dp9tCZ32FOuBMjUWW1EhBvB
MPKVEXX91rZHY7WNsdIvnVl7973I4UCgDlM9S+BK+nYchvIBJDNWNDNQQs71bIEz0VXhtNog2B90
02LloSdQZ+5o979cSiCESE4YAxJYApz+Wh3KP0d0qxFot4aA5kCWtT+VM+vPcd6rL9gXIK1WVom6
qmS3/GztZEEYB6DTF5kWyx280fBPGkbjw1A2WFoAREi/pfhkuH5TLBQRW1hFD1064RKUl5X8NCPo
Qqe6BF6eNHBtNtVSotJrGCvFOyiHJzet3MdFUzeGSGPPI81fl2Ya/Hra9LKEd2dneY/Gj+li/YCN
Hv5dRYNfCmV6vYbmw6B/qmIKkv2SGvHvDuPYGMMCI0WPe3VfGrMUieNlNvXwQYatfQXyZ0TNjtPi
kZtSZ1sFGUz3VA89Z4FNT7dlr4zJUVeIhzvOVYzfDDrewNWHZK+Em2B5gFPdxg0d2lgFbXToPKVu
nltbUeHTqedA56cdSqEU+FC500NLr8BxI5KJIE4kEKGipHOJaoHTxvbdWKwkGWSg8Pt0GqnEtsnr
Cf9plPCxgoqGFcdE+WkDQxAtlHwq8X2N0njaLlguoHodmWTL3jx03yrg0TWtdmMxkeLXcr7EHIko
NnF04kEM1t2z4AKbNx5qN2KzdDjRXSzxklL6Ubr9ntVBaKGSJGFUVSmlfIzqKVgOnm3cYWMVyEs7
qhE5aVSoxltstxuFkw9InD3IJ8TuQP12yq9FwFLo3Nk0rYuEklxxLUcp0datCaIuOmOABlyopYad
kE7ufBvoeTRu7aaf588T3axhS71A1hDfumn6M2jB7x7CMeIvepHgsjYw9Kbsh80mczbemLV3Jdjy
/lOrgmj4APAkjT6YDWLg+AP05TXEvaj1Id715kNVG+KzNDvi+kXNZbM3aLptpjyGqbwpWax4GACW
ArNrehj/sAS8z+D/oKI5sxF4wLQqlFzwsfKWA9gzmkS9t8SPiwqoZAjMN54Ky47oio0x8v1G5ZmQ
FVrq/1FqUnHp4hnOdIlVU3+pQtx5toOFWLDk0Cyl9VkaIrpHzWT8YUk8G78EeRXrDrF7+E7f8EJr
FoQyxh5vvNvIHmqbvpfVyPw6EEGtV1HxtckyDB3WORdVQ4/UuoAnpx0kIKBAIU1mAiQFigpQBGxD
gLUbloJhrD5i6opyhgf1nBuwkA6ZRqTs8dbGBiTfj07FIuxtaSAOnoS9uxnBHnysHeVGlzk4BPI7
jP86GscrncuhXfJ5lqDo6VZVNOGMDk4Bokp9uC/p2OS3Tlul9iXEmLZ86uWMo22RFOpT2qvhoxoK
D1/phgRJK5DzU2oFqABKB4+5pp92UarwpQwFzFizZV6XoXpuSxE8OdEEsCSsB2heCxKgF9mE5WEQ
reKLYw09cCzmxzaq2ueon8ubwZvJukZ3+BQYc892DgPEKhR8h7YDZj/dZlE93SVJ9p1GDEBphMGb
LbLhC0zbhtJJmyGJgTbzzrFHEHoBvZ6oM+jEhU2efWwB52KC11vmNcbQ2zp1061JEWwZk69gikPf
Eatkcx918rLMYeUZjed9SXtSuUWHD83QyfgyruRN7nnBbbygNwi+eCcHJFPGyVTXRgOpb0KtescB
lF6pnj7bMi9PYKoAe+hVbzueYdJVptqiqJRuhTNsB91CCNJr/3aQrA0XJAaiVO0uTiHoYJ6JvnP9
uV6ikqOomtzvbU66iU9Hjn07ZrhpE2RfPThy6LY6A5o0HFzTJN29F2acKtrCqa9ypp+FV35O0yC7
bGiYzaLmCrArcDBuMFQ7LafkNpnWxrkW7XXaVsL0Eyv45iDhRV97hMHSu3hKE84cCmEEl2lh/3TH
Ct8fI7e+IdWELwSYVOJRTFdRNsE7pkxGOvVB+TlAkv1z0C7VR8GpB/FkcR+MeaGePaCTJ3T/O4kq
tTW86Bp5/5+TxrVhqLOHErqGF5bJHtDNZ23p+9GDE53l3NLpOldphiR/mCKuvTSgUzeB2VDcy4rh
gNcFpAYZXbWx9RG7SQelc6uiE1zXyHa2+jJxAhTxUjuCl1RTszMA0PTEBlBDHMf8EsSiA0rVhPPe
Kmxxl7iFAzR6XlD6BfgPVGKg2jyk9TenqKOnwqbVBFquq6XfBJNrb3VY3Wewh3bAOoMDUexHiHDW
3RhLbhy7Lj64Chmh2LvMKxs3uLb8EY3YJ3rBld0sBkgwqz24XblclaH+EDslGoh9exPZqCoF2KZv
ZLEeK2MUzolP6IuBWxH9JlJ0f/wF/4APiwqSwpnNNJzlOllUiwZdb0OWRlOO0wANWgf2NrI+I/cx
1+lNNCN4N2dOsHWa6FDFy/IkR/GhT/SfZs//0xUzvDfo2UNp/sZqY0eQ1n2oDHSChsLdD7ZoN5WR
/wzcBDTQ2h9shPMhon3/ZcKkGrhF9JCS66JUlQC7tW3QkGZllA+LaQMgaKYC6cJsJ1rd7PLVQcFF
hQgntm2vJkSb+mUzja1N7bTbEg0GB8x+bL/M3GELkPuhxDprF+n8W9gO7pMorKvUrWhLmP0+jwCW
eIF7G0hKVLr67ngDCYzRPqE+dOi8edOG0ZdOBB9nmE403mlqlqbto4T0PU+436hCgM2rg7s8Q+8o
xlgORFwE0JrUKCDq6TvrZ1sTgteQlje6tkC3pITLAldxH9Uqk7TUMVC4t/nNGPAE+zBJ6H7P8Aq/
ABnpfLr7v80sjv0IRd22BxkRNz8QcgezFtiF3+IqXVbIJMV6/uaYUb+NEDddwNPcCHetnc3lrUNA
jPVnHLoX2RKOz9grxGrbYTu3LxpACrAfx3EzYq82EK40RsFy9zqiVA/WByyOsvkCwAdwR+RE8w/8
oZEXnrqZY68OEkplKQL1eQ/nJkYQ+2mOp+JzNCo7uMA9AmjVkIc5SrgicgHNjbb5pwZstSAv1lMO
t1hz9SaLlUEZeUGc/oKrlKkvslH6xCeqOGB0b1PWM+TSf/EAFsd7oIe1d6gW3d0lwxw4OytAVhs4
bAUZJPDEZW620ZXNDeyAS1aI1jWNPR3MNPMujQmoLjDbHqwevp10oxwvEj9CS+FkLM2shTYtRPOb
acwA5HcFImkR7kcNyr3IYQWYYVyktQYBC25vjHbt2OlvXj85NDqKWQ6Hyvasu5YKD9NomMHHxFyV
r7JI41A4x9nq7mQld2aHYBcYHuF+R4bO4iJY25ksatnGCJupNLrgLZNgWzV27fp0NTu0i92AyNeW
C70AwDMW1sReBQersJ9o/IeIRlC6Qcp2rDNIU0UEosUMK34OqAjx4mowot9VYIHz7VsHZFOFUWO3
D8vaxC61N+BgCmTYkEeet6MM7E+dJzt7l/RG+3nE5BUA3lwwSwBZKFZB59bLpnJDdRNnojNRVh4a
/nNUNKx0ri56X1aff1J6jj/FYc5CpXGmP1ruxDXmdniTg2ELB8rAQYAQVdUmzNWcLxdxYPSIuc66
uI/m2nO2YR9E3A04jjK47rJvOqldhYyiVV0iBjf3hw4M1Z+BDd8oH4vhAQmfEZiCUx+yvpoFa7uo
xVZnnvzcNUEXbzK8I/dpa2H0mDiLnjbVSKEMCwxPAUddeuvHEMXeZyfwOI8yGSacu6kR4kQIlOS5
rQzkhxsWJpQ7kY2Pjq7LX+kAeYgEtwbG3U81rdOSpGDjLM1AutLDh9mmsRih0ogevlPjzs43Mw/k
R6FyGgyl7eAgGw8SxYjURXvB1zhacHJN4GrZi8X4S/WFaGjrthDDOjVYj06mu4cwkHl81TLKYzYS
HWARFhjD3pFdyn05qgxwIyapEJ7c5QcGO+XDbIRVvoHulH0KMJD7OWTm8iEV4DTXbQbVTvVh/RHQ
SUfmC62DXhMKcqCxkVWjsdG3CJdNpSJo6ZYFByUvkM43hc8aXiGTHf80WhMGa2AGICh5IQRRAgS5
6bBN4qEXFUmQ02nMJIgRli/uUiJpNLoau/i2G+Zi39pV9jy1Ad1Tq8iLX6BkHSTdw6Z+HLKJBNVc
ipLmB0ctiNasMH/VQbX6Ls3mqBGdDRXEyxiZse00w5PCPGUE87aANL+JxWCMfiUn42uG0jaoksXA
cK3JAiyqB3dq092UGrjB5GnmMsndTFYlg8YA4TL2sLUxRBLwKW3ui2hMQmx27Ew+CqgGLop12D1m
s17BKtC1SdW6CpFhzxQ5DuDKxEXFsJsKZ0cMjHZzF1o4DXbKOuQSJ5hdGiXdBFm1S7o9Ooge8iRZ
TwfRU3byySg9RF41xn0PmrjVwkFwbBBTXkb8lQDI0uAtsXKlDwSZmEymSZc/XdH2tBnh/BHkw2t6
dMEhA4xFggPQIeot6U5WzfisDFjaG+3xmkTYRf1gLXEI1XWkkHqJ3o+GHQge6QFtBs/ZLFNrouKX
RgOmohEQJcCRkNsv9NhynkPfrMnXIN3mHr7CIyjhz0FMlXJ1QqS8EWaB3e9aK0i/nykRrtXOVzUv
tARW4IcnqUyutd/XJTZVOqoKRI7cXDGZj4usEHZvbRScF24IpDh62Aud8IAVdS5MPZ8EuryDRIbh
gaqMj3ab1rfw0iPrTMV0rbUdP5fn2quBBhYaQh2VLmNPQoVdZfBsMX8d4qQnQEeyruzDGJz+Yt6/
Pw8nhnOkTUXYth2LUuNR+TsN60b1E1BCD7qlbwdI6wBgjSEmid+u9MT+/eHWWT16OyrQ8Lg829GW
aR8pKDg2VX1svvD/WaKg/V6XQeN+QvkJg7YoMuZvekTl83s9TOV2wfn3TKXzRFmVygzhMWUWRzvo
QbwqqxZmXlJmpK0wc4hfuNwjiOoq7LyKYjzTK3kzr1pKE+68KUwAP+COXg81qARmwzrU1CA4Wuci
Rdgaw0erUzCScIfYvj+xJ15tfSnbVIKOFAJer8fTfZuZsqK4b8PuQHA3mq7Z95zEhnFO3P/NUC47
xxLCYvUjgmEeDSXEqBvAxgwVQhLSJlFNIckPxGLJ/8Cx5/9PqJt2aMIIz2MiXRYKdX4W47/vYP6v
/7l2MP/HoV1/aF92Mk/+Qf/qbFp/WBafynUVQSSNO4b4GxJneX/w+UyTfhfANEQSaTD8CxKnzD+k
BCiHxRTHgUWT8786m9L7w9U27QiuIPm32OE/6Gwe7xCTg5f2jI3lLscByNLXK9Zp0tqKhxhn0XJC
tQcNjMu2UxRwG7SoHSSpXszX/d9nzMs+36nhpAn8ztEkxIgfvh6uU7XDeRYtfuKB6KlKouehyzqY
Cviyo4Gkz3Tb1rPk5Um3vp5LPwXoArMlnaPx0hYkei1x+dHQo1EmsjpIZll/b2YT7QqoQaDDy7k7
eFEW7jx7sc70wNaT9Hh8TwI51DyB1t7R/ZZSdbJcfJpX3Xx1IGQHA57I7Mx5fnwW8Ja2SevIoUHu
0D86HqUJK8seLD5iNaKAbLflri9UhahuPG/f/4AnJtRmOJaMZMXQjXr9ARsCflesrs+p48JD8oxl
m5PXITVcZpdWHFkEvR5829Eg7A7G8sybvukprq/KRWnS+fYUW+T46sLIragl7uL1Qoa+SVRmPSoe
ScAnYbOtitzNvm76BCIKYMLb3IkokfKNUWkuDEo7oINhOaapkz4vI0ZqCHbAivNJhcP7xXbmX3HQ
659mlQN0fH/q/rrFjxaDjV0XUcU6e0oegU8Tb4nWQhqLP688ZJPzZlP3Xbj1EtT78wmy0WQat0ER
WJDPEjA3Q0K9THnFZVsa2Qf2TXxpuz2K7kFgHN5/uHWJHD8bBmIaHVWBHKU6erYJqmRREU/7BgkS
Luy62pMyUAoKoDpRwvHRDgt8yt3T1fsDnzgRbOFJC/4y6GBO49cLCnuagnKqWPyg0kRZyMYf6mGc
/WKYfplD+/T+aG92Cu9Gece2PJjZjhJHr9lS+aTvjuD4gnH0roDldJ8HaBV6dKg37w/1ZuuvQ5H0
SylX9dvjTWkFqq2tdsFOuSr3pFkLxMc6P/M+awDz6rMxCAqi0M9IzjyqB69nbyGFUk0UII3TdVT7
LIh9idP88iTkUl01CzUT3Z85At58sXVMwNyEORLgzXGf2rAASwxNAr+eZvM9kgT1LdQKiHMpdipY
oLcf359Ia32JNy+J1A96qdoGvXC05/OUQk2N44kf5ymd0gpjySbH89GCMe93c/q1HcLpuld194T8
YnOZF63YGhKX7v/kQVg8YCkAAfFpX8+2VCNGaLAksLKA4dyjHHIL/kZsxwx3jdzCOdTo8W8IWxQI
FjnVhyYdVxk/LtX3n+TtZ7ccpda7zXalxZ59/SCqqqqozlMJchUNIBWbwb50wBg6yDR6sVlhNGCH
547eN0cEiH6lWckESoAi9LouXsA5VCHQFaOB69uwmdc+w2bKsH2hgzpvUE2LtmJ0in1orM+Aa52Z
TxzKiODuRIThmgqS4nIYQRBHWtyJmqqsR4fJJzXsziyYE7MDkkghvYtloevqoyOlr51CGVT9/b7P
HpXKlodQBPkjFgBfyy4mMK8zNzoz5pt7UVmeY+KMuE4OGcfRRnRUHMKOQzu2TOv6GoYL7jWShK7k
VP1oRtPPEk/crefWwS50yvzMWWOd+DY0uzlpWBOg546hNgpuzly0LpNLoYBpdmsE0SoHZwDHgZon
+l0Mp2obu/iaBjbyTV3ilPvZ9NoL6q1yi7iNveurXPkNelWXaVn1W+XZYCOq8Zwn2Mmp0op8HxSU
Ig98vY7mGQIi2kD0o8jZqHsZzd1SdkhhDkBF4EEfaoqiOVwuQsX071Tm30LaTs6Tx7LgvkF8XB7t
YB3DJRpbPlPXtf1dCnFpQyTYXFFURY3LCtNdyEX4cZJ4wr6/Zd/ePCyQFyMf7Z62mnsqc4pFOTbp
1hWEZ30xJFujmL+/P9Kp5c8lp7gPCDtJbF7Pb11KZFmWHgdCFN22NUx8P5q0uw0tK9pL+jRXgb04
Z1bgqY/6ctCj18N02+sKzaAwZfM90D19WQTFz8V07lWFWqCbzjVsyUFfL1H1T0MI9p4EmEl6RYpP
BeX1C/f92qMM2O9lJQR1tbq5kQA7DoArhl1BRf7MIjr1KSV1GkookoGPCxhzS3m2Bi7kQ5XWGw0s
bB+k6gfAP+9cyPj26uPV1uwQdW6b7X2Uvxg0+wABSRORlbzz4zTEpK0YIIG0Dubc1EnR0Sr1HsxT
AQtbYgvl9XpbmJF9Zo7fqG6a6yRTMFKmS2eW7O31JINGRXUsQkO3caHuiqHCWyPWLpTWNNtqNCY/
GP2AbjdMv+1SmLg5zcg8AsWIPoi0NOngd8gxkSmfCVxX0dGj6ADbvNVcwLFB59owxF5dS3A2nTjx
MJUagB5dRJF9aNzqwZ6RTmsC5K3iOR8PEURa0KMBfvFN3SCSzBFYWGLc/vOtR9UHTAZlGQ64o89l
Z72iSwY7dNR4sBJsh9tKVTFcVkM/RAjxfQgKfDbeH/TU1uMsVogXmsirOkfhkeqHSGtExjDnVmQU
zuBeKmS8jc6jM0AXclvIEd4VVttbq+7Sc2HB+uFfR2eWp0nIHKEJCMF5vp5/N15ISSg4+2FZqINN
dnhjmYbaOaOb00/NUG5BoQ4SMzlaqMfmis7sdMdvgymMGalfobywGyrcqBT67hjlwPB+f4JO7VcI
hjwcxTnw5UcTlKcoNEVhj1dVgX9KrxOMUDrEbVrZef/MONJcd4mLMi71ONJ+57iQa1MUbLMUrEVh
pfLPwaM+l+ms29RDOe4AtqozC+7tfWZzLhCYaTalfINLHzn9UZTUlj9hnwTz2kQnpSmmQ9CA97Fr
6xZJAMRDrfDT+1O6Ttnrj864a2TAjK6szvW5XsSCTmCreilJVOVsx4+hZ5Z4oAr3zNp6u7IZxcMU
m5Lq2iM4OnPs2qgkuA4L7IDU926lNKC6Pt1Eq8ZekM4wV1CKAsMY/HIn1z1zzL9d2OvoxPoEdsRU
x9+yH5J8RL8LT2IjQg5GS8BHqRs+Z6h8o41Kd/H9OX17b9vwWyHPkl0R3B9X5Ucrk15F2xxUJ8F0
DXrxAukohKVWP2p0AMLt0sbO5fuDnvqQVB7XZIKCnDrOJERgN2AiGNQsnPE2JGoDaItwzfujvN2B
HA0W8qcQg1F0luL1cumlCN226G20Tpxia8lSI8NIBzhB2sb/T4bSKytkjQeOb0yRjDHijrxQVIFI
tvJq2E+LCceU1ufu/aFOLRBKUNKiyUrcpNcP+mITtOHQR0422/gtL8sOEOyPaAhCP0beCaAGJobv
D3dyEj1qFism3RH20W4A/giWVOLNhfMAndWaFNT28F+wU/71/lAnUm56GOvnUiR6AnPa169mL3Xa
CImv21T06W4ERbyNXIOQ0nJnQH45BEoEv+9ByFd+6IVQHCskbrrIMPMzu+Lso6zT8mKWbaOqPZSp
bL8dYVMPboWDIdf3DvTCvHHRc4WbimQ91yNuPQQKfgV6d2M1jTwzKaf2J95HFOOpuFA/OlrEuD9E
eBGsvgGTnVy6iYIn+2GJQBiiAksjOizObZtTC4yL3VL8Q7vsOJI3Qqur6OHzSlCntmmi7G0LONo3
q+gpAIl95jI59YIYzkgaZdTM+fivZ9oFKGzFAYd6P8cY7pngIXEpQlytL8DEr5JVGGie+bynLjBi
aIqhDtyuN+W/WFlpQf1qvUjmcGuURnWFZNmwL4XTPNCcADBrReZe1e6/vAH+bSp4cnJBi3O7mIRq
4ugKqyMBugP1Hj+pbDgXPT3xfFz1CCPwlHzMc3vq1PbFn4oawNrnFsfV37GbEmc0mF0R4CQn8l4C
aMS6ydKs7fe376qycHw9kzAQEcCboyCxqvG/3DMiMO1RFjF7pgVkW3X1oTMh6yJ1BLGpjpoLw6p2
2VwcvMzybhFY8W4a2302URMhKjKh6rej+6DCEaEZrkBsVJQBFqPaiWVC5M3Ogr2ZlUgzifjZxLjm
0oRe9GwbS3QdV6hJyQ4yWmG64z4osQ5tM49eQbt6BOMVc4iTSB9ye2mArKMXA2DORTrF6nfvz8KJ
CcfvGkKAduEU0sp/PQnDUNjpMrG0opGmuqrs9oEqR7mNaoTs3x/KOjnh/z3W8TWaxrlZhRFEpqEV
kK89wM6LBQ4P3yMci5Kp8b0FdcJKGA6+GghHD22Y7ZIkzQ5UEeuLpBbQ/rsKK+hmKK7recUE1oM6
MyUn1jxTomgoMikSi4fXUxJkSAVWFbkSVuDWlZstH5u0ST+BrRCc7wsuxO/Py8nxXJNLn9QMctPR
eKBSjXRcAzivH4KH3By7yxZNmx2ar2IHkTE98x1OfnIqk5KyB2953BTHXcf1OoWobttY4S12PvCF
KSqjODNPZ/bYX4fvUQhMqU1i00Ug7Nny6Io0nGQ0krXMggxu9wkgBbJ10SKMx0misY2MQRTfp5PW
915nPo7pNPgSutqlQDYNhdW6+lKhahPV9p9J31q3zYQdIoZQjsLeGPMYlgkAMHFVVZO3MYISY8ay
6rYeeEm8VnGN2JBiTsCkEPruUNGrMLudFMqnUD8waN/UdaU/md1kLwj4AY1GOm6CPm/kLuYySzti
qRk3V14GL4Y+k+ifak215IKKqb4LicmdXbFk0YcsszPzIgtt9R0HPTyOZymswR9hDdV7C0cbCUjX
Bm7HLdWD95xRoL+QOu2+wuVLf1sDEDr4VmG1rx2geUYk3M/u2I2PMrH7O40y1pfczgekFE272VWy
L3G8NTr7c07Wk+28UQKpE0HVrpDupPs2JnX9ZM7S2o1w3yDJWZlzVxW6+urNsfXY9cR6iCsHW+pB
i7ktLMCPm05B49zkOHj9CmWPajP1+gCMn+OwTVuSjz02ZbiWv7/2Tx0J5EYmuaArVk+U13ttIYbQ
fd1SaqQjA7xefamzPt6KvrZ8V6GfNNCdPjPmqfXvUJsnH+QCZ4DXY4Y2QIRcMibYNnD9rNwLARB2
205pe2b9nxxKUOlQxKKEVUfRkKzrwLUHEKRlz1FSVGa7j4q+/IJC/DkwlnXqGCHK1kCjaDrxfq9f
y45MpNqB1fgt8FVgtZ28NnEewAvAu2lL3X/oAHFuKtOtdx6gvG0jMDFxKPxdzQSImxC3gG2dieUw
Amfag2Xz9v/8W0MQdFaUAVUQb32BFzHq4raTbc6T6QchWt1z2uDQTbK1KbsOznSQjjdDco6deqIi
h36R65gc5MQVtGReDzr2jo1SXmv5BWp2CYBJYWwzZ24AnQ/VzzxLFAQlkaTPEjMWyHH5FD4PiTt9
muc8eAJuLFEcSvvyHp4RHtjvz4i9fv+j4xG+PCUuiQoUvkBHT5fbXVdXVmD6eH70yGoMUwfaEVoA
ehRicq/70bK+pGTzOGvaAlyEMWXJXQT3GiEK146/FFHV/JaqyG8gT1UR4juOebdMYCbJxNqvEcCy
B4wvoKgEBCo/aqPVz1MVO7/6Fe575nVOrECgeRS3OOc5/cTRYS9djqAin6ixQfbf6Xj+1lYY0U+u
Ge+8Vtr/fD1B7gWYh0TVarp6dHYwz1YAqJpP25rONtMTJuMhCuhw79R9mqLsDVD8HLTjxI6mekpD
1+bM4kpbf/3FIm4WF6VN3ZFt1HFIvRaZckxYvEPXO/X2/dVxomhLEkWZAzQUITiNutdjaaDXA5xI
ywcSk/l4A1XbwOXq0GNnXQjDDjB2blGfGhcyzdy9nkaz2GEcl3wDADqd+bgnykx/ZXQkdQ7Z7nGU
krSjByc/I1AskEBsKfdcDHm0XFUQUS4Scyyu/+I7qGiM/Uom3Znh3+JCYHI7JrRMMu0VLGS/noxR
J9KGXUFm0Cj9K7f6+GlxFnndrjZuXi7FQ9qBa47SvHl23bR/qiCFXlUdzEMYhONF1RXo48WKLKY1
5937n+rUymf7/gW3Ac5wvBQX7LaCpKT2ZeS1ta/M5NbB1mT1ObnKwmQ+c4GdyvZBxFlsNVIy5OCO
jg0vb4A9ztRUgJKDkVZIE6TVgjm0mSOZtbp+VdSRLnQn/rIpL2rL8alGhmdut3U/H51eAHVWwBj1
FuAOR5/EllUeOrQQ/HDd4YhQQFQaB/vy/bk9sfBWYCq3mtQ4ma3IwJc7TulssNoM2pPMlPVQzvbs
V+EMqXIAUw4QqvBTRDcOhRMjLFZjHPjPh8evja4kfR0Xvf/Xw9MpirJhboW/DFTlggWjzcIstZ8E
ebpzBozFPSghG3xMcJPUxv37o59a9mtlidRM0L0DUvZ6+AhHKDPuqdTFwYICUp2pa8R6PWRxrXzX
De58uXYFKEdO7tbNpmwnEXnYwMFEMHRU0baEJOOLWD5CDKvOTM26zI6/P7cM1yrVbQKpowM49gZ0
nENh+7OuBpwFbOu+ITw5iJa2Uro6mcyQKM4cBKcGpYsCAJLlTwn46FCcehsolIpYdPMq6ZLeib5Y
drEW8WXWL/p67s419dY/8fg1CXM588jPLMrcrz9BAosKvxZG9EbhrXQVpOjNqfTHvKlv0EIRa3sR
8pKI8v0y4643JN70MfWa75mHGD60k+bMxJ84boS0QG3wN9HDMTggywvVl3Vl+2KKmydDq35vDBXk
nQbVwtUV7v1FeOLOIx2GR6nIi1chodcTkIYUvERWCD+2ZL5NKlwHoD8VG+VBwH5/qDcaQqayBXjd
VQgFuC14rddjSfZbFnqZQPc1665jCYVlQBoZmwMr8ecB189ybCU2IgbV6nzpDlWkijOn+aklRkQG
bpMJXiH4r58hDmXb4vTLloc6y74vM3g5GvNfr4EaleD7m5Q/3n/vk0OCVFpxKWyo47pXYsXlNDkT
h9wSdXeFhdaBCiDNeqFbohYmZ+TgRzyD3x/15OnCybICRUEAA1Z9/aYYTccNrHYWUiqCA9y6aptO
PYZhwbzskZ+HbTyU7pYvBq8GxfhVljMKLsKuaHwcor2tmWB6NwqN1p/mA73/eKeWObc9Bx83PyB0
5/XT/W/qzmQ5bmzLsv9S8/sMfTPIGsAd3jt7UqImMIqS0Pe4uAC+vpbrVaWFKBZpmbMcxEBhoYA7
/Lbn7L3XUCye1ZeJubZmHTWIj/mbOPcJI8Roh1Y2+Z/N9Mv/8O1MR7QGO9y46L3f6pMYCr215EAK
+BW8vZ5TF3AyPd9EXt1sYcn+TJ18OuRxGV83ed1DQmFBaEavOleTrbDbQhdrK7X/+DW8N/1oMbg6
fTbk52+PnHYDr5JLMXJMRIsL1tgt2rl5PVwiaj5+0nujkPMdIlMXXQx68D9feOz3aZqi1cOKEZOc
YxXEw8eLux2sqcQoZ2vH2Ew/0/y891CUPPRqLtosknH/fGiGRJmg6sFaC6tS4TzF22Xo8o2v6wYy
ivoBidLDx1/zvReK7s1lKXfRgr8tSk068ASyvS3OES4pQa1FvxvDXZD3JCd//Kh3NGecWC40Vt2n
JULX+89vR/ZGbOudMqlraeY3TKGQbzT/KAmvWPmNZGEr4W8kXDm3xN4bq4ni8amqoBN6trzkrRbg
Kmjx7hsOtmEFvxTRL7XpuU4+WXov7/nt4OdAiQLfp0HPdv7nJ83iPs6BkphrT+AnM9r4pZJ6d0g6
KBrRmENrt5cx0AH0hYjjjE+efnkPfz2dW6PlsvpbRJT9+XQCbsAy1TE8TW8eN8XAmit7bbybZN9s
qS5qZ5i0D443zfuPf6H3BoPP3YohSGOFpuGfD04UxS47KnhwQopWRxLF0Z1wI3FxGP47jyIky+Vu
jETffbOeWbVJWj60dPjohJt7GpA8yEJz6BEPFH78rX73Hv96nz7FXb4Rvoe3K3viFbgdJuqKtZn1
V3pDxmub9ksI8PV74lXteYJYcmin9pWOmsEJxp5X9uITNLEQ3NzDfarhVfh9D8muAriUse7qRacF
Dtd59EGFOsZsF9vYKTUycwnUEqK1PvkW7y0NPgI9rDwsStbv8sk/LttzJ3D1Z8RS0ncnb6Urkc9W
ICVat+1WktADjgU4XT9+de8dQRCpXkRSVAgvirk/R4RJCEte9YpX18r0mLNyBWWEZmTC57nuaKiu
wRc+kahEiEw9FMexJp3u48/wzqBkcSIbA7EKnYG3js+EbleUu4yURiiyo9EvXzee+5wSD3T6+Env
f1vbZyGkEXZp8/35bans+lMWGdaFmYz2FtszFebpV14pb+Pk9bB1JWAFrcRtaTqChCLfNz6ZF+8V
OrjaU0zh9Gex9Lw5htgW6m8t4nfGzJHvEeKYKzeqvWC0ldox+iCGuG26gQUkTvVA+b5MbR+1H8Eh
ZRqbnxz/3v84lzHn2Rayobcbbl3OiUhz7sxJraDIDAQ5pnotLuT4CzrXbAJ7HJeNyYktVNRc94WJ
eb3BwkselKZ98gu9cwpCY6CxIbOH8HkuY+UfkyDVl0gMROGt88yTx0VngVrmWpxtMXZhVuufiLPe
G3qIUC6tKKwBGBj+fFydFLYdxyXbMZ1TeK0ClHPic6WkBvDJi373UbTZLt02MONvz9k9kNpKGTCU
Oy1iEbETll57JIGjFZ8NscunfrMc/rYI/r9HXV7yP15ipQpCs2omVHZBxpL+qIVGr9r1J5PpMlD/
esylIoMaFVOt9mYyuaRY9B6EWDK45+HFoRC0QvGTBz2SwH0/EtkrdL3a4zmvtp45TwCQKTUTldaF
/VAkW09C5vvkM11u4X99JsaNS1OdSvhb71AyEcY3XTY4h24Rwl+Ug4nZUDIwunZjOGX3mkYwvYal
Ws4KG84+gae9zdRghB9/kvcGMvV8zBgsM0yvt7N8xu/V1ZdplTWKnlybnblRF7CJUInUSW5/dpy/
LNR/fXOu7dAUqM1Z5psHNqYd2e2EuajRbki5UoC7p2+xgM4tQejQdygX0rTs3AvBybdn1SX+JiUo
4SnpVPLJtHr3y+PMQTDyux3x5hzYpLVdLDX4NbqhQM4iZ9n2RUtwc+/WGztxZfHJ7/7O3kkbiMbH
xUBwuUn/OeKBLdvwDVsuscTyBUBEoeY0C8FVdf1MdTBbQyxsP3nmexP6twCbgE6m9FvjgJjHGuz1
aK41M44PZYFVHWMpHJe0/WyX/r0vvf1xsTmxQjNbKYVePss/ZrRrkfdDOBsiQ6rAITk/JS3hfgpZ
v8h9r2JiEGpq1H4++Ot65rxayFIn2zUSm05o7ZqCdhwaue4e7AGqWVW15cmzMEB6tIc2eVsJ6N1k
YYwEAexUYs+BESsTO35Rb0m+JJ1zMr1NItwWbkoH0SCtDLQq7mdFtncOxhbtDdzXly7pX3eyxfKq
TFqLieCxTCFgTv6aeGFnC3SyWzeAareEDM77Ti7DJ6vZe0OWszhWVI8mBOvzn28Y25LvdVZiISwl
rU02dX8TO0T+SyOLuJ1o2n9jilgUszWTFiHN4DfPy0fHTQ2rZX3o3XllpJMDTSdG30mwT1CnprP7
eD16783+83lvpqTZaIudIKfGfiQBGowgNuE0QarPhn1vqfxKdiZ5bvrcXX384Mtd5u3QvdTS+IdE
bsRVf77YxM5ok2kIMNAH50RXVB7gSU603jKrR9q1+blkNIFUcGNy2+APf/z49zrFGKAp2xPcgSb6
rS5ZdJ0oc24OayiYMCeiOn2OOIYf6sIHelF5ajX0xrArJyvaKGswCIEYIUTNyM7cqjsRHKRT6O9J
YlNdcTWmefXJL/PuJ7y4bLkrUfTnNf35hjI9Y8zPQPMWCxUhQYw/TGKHQo4QRGxfBPCN66kgmrMS
TdpkbLyB3gPmau3UG04XqNnNzqptzCstdvpw5KB9/8k7fG9XJUqd18cGgwzwzd6i96LVyWsikLoV
aRVMC6DTujR+pIs5b1RHOCPiD+9LEefOxhSUgR3XKa4Ju+g+2VXfG0wYPn06/5eo87froJ0P+jAR
ZrW29EsMDFLBVSlya+8tUUwYo+Ns5Wg9L5wgN4AJ6R5+/CLeW/L/+fg3B6sysbsZgiitqKm3HiOq
FBhbKJ8RM6s9fvyo32LDt/MGf9DvtUEjreRtv2HMNN9OaoRZORmXypjLUCoNwzWI0b3EvXIXe0Z/
MpqF7OY2m7dEGxLq57HrTVVk33Gb+VEa2b3PdfKAVtNe2/rkfuVciFy3EvYVLaD5RRQOkvnMiVal
ZZJrqoBuE2WoP2tVoYd6BSk1q0nXtO283k7+iGrHiKtTRHd0Q1iCt2mr0jzZtKIPtoQ5LQuDTGXd
UauPX8fv9trb1+FRpcboj+7jL+Er78KqdIlWks1K3iYJZl+Mey4S4DhaEQpgnsZGugejnNtzNi7N
xksadVzSAcCPaS3XNQy7kPZSHZitS/RgI5enlnS761g21dZ0soppns0/lxxJrT26nzVW3hs6mED0
y5mInfytHJBalNKN0gPuHvHR5zLptuit8y0tj+6TreWyXvz1qugdY8pG5ohJ+s/1xLbS0ZMjXTQQ
jWA8Ub0ATZPlVUMlP3AnWa1n/Lrnj3+gd78fKwRQP74gQT5/PpSoglK3JF0a2y3kxhzt8kkp90VH
LvbJFfG9JyG7uPymlzznt3d4vXS5QAme1HVq2KNZP0SkPd7krvnZmeDdJ9HnphOK2Azh1p/fCbNL
i0+XhVkNRbM3StKQcHJFoUEa0ifj+91HkRNEZ4JKLWvbn49aWsp1COn4zS6wWMdpi43bcwRKE6/9
5KbwzvDAo0OPFTcE1jDnzXZTzrA9u4g2SNfHw34gEHJr61Bekajivc5pqM7i01bXO9/PprdEmYfJ
j23nzav0rT72qsY31o6C89jEVoEai6Roq/A/K+2+Vw2kuUMHD80KSTnem5WzJ2TEj2Y6KaPfVdvZ
QVSZoh0JtURzziI1u3DCD05ed6e+ZQlxdYl3ySrwQCVhVem3oqgpAvsxckaiQtbs2vZmaYV3csdY
u6uNzEAabdY/G2OgOlFEFTFvdbxN++bbx3PqvZMBehhac7Q/QT283e70xkj/rbTAdQT8B89F0Ig+
PnVFFx/GqOF0LAFuun2RwWWf560zaSSwF7DooiYr15rKhnVXKvPcj/BvhO/UTx9/xMu4fLPWONSx
mIaIurh5vjndUcnSL0ZbZOUzEmrLnbpDlmjRf33K/+Mpf01Ej7g1pdXMDlkn4kDGFXRO8gV2eUK+
7cdf6J0TBuOGhvMlyYIR++aoUyiqbQP3eSQPNv5vNx+3fSsbNECuH6akod5yns3u/Mps9uhxy08m
5zvzhGoKfWfEDxedwZuxq8mZcT0TgjB1XcrXTbPDYg2vQnX99uMv+u6TOJaTGUW/jUypP1ccfTDR
kFxUPEkd1/e16aptJxMK5+SI/fudXkCV8c/65t/j4d/wnNe6mbs0ToY3f/zf/9OQl4bLC/n/537d
/+y+py//zPv6/Rf+b76XCWnIoRWBxBk5HNEy/5nv5f3rcn332O75HdHr/Ge8l+X8C1kwOkWsk5cT
9qU+SEz+kPzH/7KMf1GeZ6+ju4GxllbtfwlcxNLx56QlrcSg00xqCpLgi4LxzU+fpn0KxYFOl9Nl
4yFNchGORW0fBGiHF+gz8ovR4Q+eMwAKwwy72QdUDF64u/b6KDql1Py+Ry1uXT9LvX2RzMmXJKOU
Tni+dRqyjKDzhLvEVz2re+DCUZUcEaxWN6RHFCdV9+kvFVvarShSwoyWQVzZUd7dCUqUV9yFyOVN
FXlcujWcJ0c2Tz0kZEiJSUaarbTXSFxFmA9pH8IvFo/ZwCW6GbR4P+gz0Scq7cBGaFN7ixHWure4
nWxNkWffa9eTATAftTfNpdpNTTncqlktR2C+9m4iA/NEauQS1v1SbmwngUHYE8VvazeIqMN4cu8K
PUpXCH/uI2bwCsOUSXeefoGfmdEL+wf5fjVYzkgS457OyWppjB8RpZpKkRGZYqFsCvfQlW675SID
K4qCnOkQcGwW1078qOb6TthFt6OJqm7kHJUbzNCUBLRYqS9VN860Sr2YTy+Hn+SyW9u0QCSgL4YZ
AMGGTzer+bvO8ntvybLdi9l6IBpLPedEKaN1t8RW6fFaJWSd053eLnpX3UZlbZyX2mseVaXNIeIa
Z+fWYnyI0x6QodPEaH20Qh0AUDirIe/l02BOsC1UUkxhbLX+tS+TV9mWoZ5hMOaE6wYFUoGV8KCm
IR6NXmUyJtuyNYdb02zgFxax2DaRHNdNY13bgqgiox5u3H74Kkh1xQBB0O9s2CttsvZVGa8nCwq1
ncirVk5PceMAJJnAQuXyOzqoOzsHQTrl+VmLjObgzRkMjnJJNqaV1WFtL8dhnI4tZCNR2qui6b4n
xB4HsYzzsCrHx9GAEAJARSYn0ZKjHKBR5kP0Oi4Do3IgQ+fe3mtd+YRLPD/qiaeOEenMfRCrJeid
siXRAOuKNjblOiYXPUurULU/SHsuAyAVKjCNeNq77SFCCLSKexMswVSLbQcC0huItTWSKDrUMgmn
aszPna/kKvWx9Dm9t/UyE9ZhfKHaKHxCdYuwEXyN661HXZc3M24si86c41V0Y1w4oNossFwUtDBt
M4CAE2oEXhQIiczBIIUXXJJs62nXGml7MEb/Z9fpezF5wMQzgN12NgWTOetoXtzpfBGChZ0db0aD
1IJRZccRMMV6kTYTzkzGUFn50WxS/TAWbRJMQtvYnU6YsFmZ+5Tgjau+bq760bNuJ0GiX+62r73o
Ht0R/DK5HbeVAQoei1MezGNp886tJXRd8TKBcTqRiJ7ddRfGSjbjnncJVTasKcX77EBHdJ0ZHK9V
U/5orO5lGSzn2CWetc1BztBKE6uci9Y1gbZT0GTJMzgbDaChrp5o7VgbBGXyHrLGefAE7yoR66qp
Di6MMZRfv7Iy3VMLTM9OPFlPEHhIii+uhx4pMNHfJEZ7VrI2lXqtZlKe4lYzn+ypbNey89Kj3wqg
uHQ7BkuQc55qm4oQ37XWJQ/RgpBoSMn+mhH36MymtUea7gkdSvNkzWa1yurutUiyW7uy5U3a47Xz
rbMw9X06D0+1a5QBxXvG5NDcg+f6Uc3uC46SK3ssmis3TRIo9zAzShjrScHRwW6A+sTS6faiyMen
VpTlmTgGEaDdBPGztO4GgEr+anJSPpHtjVFmKpZf8G1yLARYJOrCiY95eqmI5qgTg17T0D9XGShR
3RIHZAPFps8mwLFoN0OCGtSKCvKyJWVduwQr2xs676yGPgdsdIwQGnH7rfIldgiDMr8vykLmqSJj
1VjVtI2pDR9ns1uOPhHndzMC2W9pbdn5mqxk/WqkfXPdR+nBivNbHN1NRWq0n5KetJyLfObI7pGQ
XOlO8oMYemenj35G4n06X7ld3/3089L+OfGzHfLFv9XHzFp5npq+25nwXuYmh2ZgR0e+yOKusTfh
54/3HltROLa2ToJIXNyD3voxDFQdrJpegxj06qmGAnzXoEN86i+Z54az0FKiCRbHRnUr6lFPV3Pm
g4wB0PBVYAQLKr8Mh2b6Ri76Y1RaSCuzRZgrloGrsc1fFVyhoE8Hgr2FW6w1YigT5nZrvDQJV4yV
FEb/lHpErvNVI7odqUlTeMqL3xaAtr2rFgdrZq8K4W37WVAcE8Rkm2NTnTh+5N46xx31YGnCAzxb
NfLZFcLY+Ytd3QwEtux9P69PRl2LdW9lZCAZaWkALY7H7oS6IlYAkTrjsSFC5GZMMeaGMKzG75IC
hxdE1Rjt9LxtnvCp2A8kkQ/NKm8SgCV9UTn+bqgj8YLSQN6NhoGa0/SqO4OIg3uOIh7lp8pZFY7s
g74EyxTpJj5IjUWr9u3pmo7ach7bXh6SvGi2drTkj7WlP9VtyhCTZX30m8k8pEs3vfA+EjZgp61/
zktz4Xok8lfMfzSvi7Q3H12kV2OQxQYr5BhnFzqFiXd9WxPmsZr6arwzpB22Hv0cFE/pOo78+yzD
XZZpV20X3YncZSeuo5UcVLaRfvHozEX0K+2Us5lNsev7GTjqDw8yndAumrJxnafLd83YjJELlT5J
gSjnXFOvQQlEJyT8BCtmam/p44s3igkgNgsFfQHRfL8cF49mLQkmjHui3Kcl6lceXbQgkvUL8BGx
nqliXYbv2W7l1neZoyCp1oY/jFuxxPajpUu15hhhnrWC5VjLp3hTuQkdb3MJ0Sj0t2OmO48d0wnO
9TC195lrGqGHHPgmiav+Je2kvUol2wyOUYAdlMmCMsu8fWLjKUpNTn8xXtXNQOzTTyK5v8+FuzwW
rQQ4i4J/22jS+mFTegCUWfXsoF25kh2HNBIRj3a9FPdYId1NGrXdupucraoXuXUT/bubaU++Ca6t
6+3qqgbMtqN9yaoO0uiZkL2dNrdbgAE/bFGd0I9ujchllfTxP5DdqT2l/MbghmcD1LEoqp9jNnNK
WRTMW0grWy1KFbjsIot/tH3+4gqvuzZKHd3vZJ9MM6/u7Aa2CK6c5IbSpPHcduN4rARovNgpzGsl
h37n4JuG4DGB8lWTtW2LIXsFpxRhMiUvbclN81HFRc1RoGq9X2ZZmLh17Bb5csNxtq7jtW3R0NOL
IHfG6zk+aHiwUHxsbeUqdj1nRyIlPAuRFDdx3SWHpTa6HS5PUMF9Fl8DgZJlmC5lE+K8FIhbIhni
rLf3lZHeygXOnG0m/pVCfUgLuEZfm456/UikU1+vagRQBBYAx2hYxlMsYxbJ/pkW8+/weGTfyI/f
mTBZXD2694tT6i0tuT2XbPJ4wIchM2/MAjRnEeEdo/4rt/p+15TJ0YWwc7hAr45FE7dB26UzN/a5
3HddI/eLdI0vLcL+FTG1oD2EUSO8wLOSa0HZ9l7gLWkaSrcrZnyZpNLhPohOsewRDSxaFvshxREA
O9Y09KG1WCacktHNmaWW4HBmzEQ//R7naT0337oJIjdwvW2cVvVX6nkW42NOSbJj4MdrTRsAV5NU
CQFRJPSq+io6lkw04B95Z2ncPBIaZhNKqdBQyi+DFkTPg9/BONrj/4KEoc1gETOCDXZN3w4qKHr4
XFazyC+qI/aq9cy0pGrRzeDqU6k9VPFFe2tArEIekBU4sAvK+7w4zXvShx5QQVK3YdSY7sPsxNq0
Gvw4v5ugymwFyotNXC31WpstrOKzI6BiGKWxGhvPhLiRtg0Mtnx+KJRLzqKZldes//EmiznIwdHS
wqUo02scwOnGjO3uxcgmJrTI8vqXIfrlJa8pfgzQ5jZT3T6Mfd3Bv/I7BbSCg4Z1yWc2Mt1YGVFr
XolkZy+zcypt9iQz78orq5PUgaqmeMAVZLIwcaljA8HXZ/IBVBFb33g7cg8qyFknY4Etshdq0zSu
fYp6+dzQBFgX3iByiEapvbukaexleaGmVJpTXc8yNXZTIofApIO4GgAkhrUpxoPO5nxoB/QGBZS1
tdfV4qiEF6+EcpaN7D3tSCqcCMuoM/dVlrS7zLZEmGR0wGmzyfJrPzf2PqONQiO4Bzrg6Dhw3HLe
8a/YULWOS8u2V7n+xVHjkq+5sN5prQ/h3CBeaa4Cf1RzMAxk84ihRdhOg4bLF/2zICF9j2Xdmq8T
D9EXeisROLkQx9EB4XK/JOad6qyD12eExTj6DReGb9KnGRjvjazfjlL5+7RMOePqAOY1dVdz4wtG
U/kH0DduMEVWumd85KthUMNXPuhzBIhzlQ31F6FSH95Nhk4nt36qLDmOFezMBZ2IXi4b3zPPUzsJ
nKlNGfRu8su0mRFCa5yVJQGPtT4qdDcrv0xe454mSz75vTDCXAIa9cvo3BWuXHG9L65AQsF/jwtv
t5CMGl3qqvZZS0CRNvypyu3pcZjrNgAiFQe1BttOgwbG6dAMpgo6meDUC5jEPFmy2qaVTvSBUaxM
RNITvbb7binFBnXTsm11+3mMEu8rC2G+U2n+zSKQFJu9aDy+dKqLJ62al7AxajQwPdaCyOjt3RDl
D2rkhsjSBk498wfuClzoA4MT0l1NjjLazwWfXYC9t9gSZJVlYavheoq1OloT4ptt+YttiH70Ps2W
V1g9wzoR0FPB6cl1NjbRTevipM1b98lMgbIFxMxle8vP5PdshLlr68hVAqZOaDbTJvYz6O/GJK7I
bPPvDJ/w6VUHzKrlYuTJ4ZzmJVHPVG2OZps6G1KSnI0zWKFtd16g3LZZTya3I7MH6Ti7ReDjWxna
4cpv/ddMevT35goAfNGHkzCOZkpDI3fgGc9Egkobrqqg+m+0dssW1D8PAyAELpWMV5ufo/WhlhI7
Me5aC/AU4M2VoeKrCDnpYbTn5Vqfim+LpQEGMUd3B/hFBFxeYFGX9KLb9MoQXbyfuC9jm+Le6aV0
G6grITRoVhRXjDCLy216CemxZw48BLNwAOHp2Jhf0qGTLKzGt8xuPSiAIDUXEyHIKKMVJsSKbMPB
5ERMvqw3Iiv2vBZHMemuuqzuW73dtw1LkrBnH8iDzSJsEXKix9aJ/RY8WHSfG9+FoYDsaPa86acu
/T7FVIkocx2K0cVZOh4Hjuutrhdb1bEZ17l+z17RX0uIRIfSrSlTVFDnpbKO9FSWvRtVOwN+1oqY
ss3YDTctxpEZz3ep/Hknc/CEkXJw1ugsOHFVkUOIKxy7wbjVtcK+7Rwr3RJGMJN00MxrJ7swm2x5
3UOfBGTnffUtVpUKYl4eAUyj+H4msxTje1R0q3nBCWeW/aMqs43ZZae67H40tBgRONvcVPle23lK
lwPIHaizVXdb9u7DAHgosIuac6zyh21leeMVJCiDeBexw+nb77miY7J263kdAWFbFVbsbOrMGQIt
G+YQnMat36UQ92z01lzfvmM6wZOtSmPfFJeuck84fBthpaEEY3GMDsscNHMcJ9XKHDXaM61tr5LJ
x1jD9kxukrbXLzDNOtHSo4EBJb8YW31MwUFXUvxL03iNF0c7E4sRrW0ze4QbfQWXUtt5nbSYeZR4
/LHjSu8Q87Hg3X1NtbwC6odS7AVfh49ztLpvjOllMJ02KEvcTnlV8o7iBWROM7WBnlHF6IZu3zpT
FzQVGNJeF3fIWA5xC1IuQqG7QuW+I/C53Wq5AQAX81s3T+3OqUm2iW3tWWfjubZK76xxsPbHeZ0N
ervKtfyoquqLxGC1Ew5+Uod47pPulQwbGSpWlCsjwrV1GSfVzpwY5UkZAW4dvFsOHlroSH9m6SeJ
SXcndGf+YZqR6o41F0zJBA04AsI+M72f3py8mmkNZiufy0DFHvEDY4OzDFPtNZK5XesxOTlPpdtW
ogNL/OHOHrsVENB+NUf2cFdCPPfT4qtpZO1+McpyVSZewkc70Ya9dSpn25nC+eXBDLLSaIs597lT
HCfSkQvGgq5gtVCwIIczhfvqWF8H24i/+T5paC4IQ8BLoA2TV5dNMZAm783lSPZVL3nxROKQI20T
nDOOt/WUHY2h31gNnr8ut+VqmExqBumqSaDAxkSPPFh5mWyxlh37uPfYOGa1WWbzpc2dA1jnE7RL
mMdIAKb0J02ydCUuI9AaKVYOTah3DWd0266Goy1hZHeemZNN69xOIz+Xr7oQJi5HJ9CsEcrxMHGB
aw5ErXHlrEIj2qRO+YDnGi8VAh30Oe62KLLmN2SPOz0kKPPRSUwSDHQdFqNuBW1imxuRON1Jylqc
vP6b1o5fhTWs/TjDRdO1P1zkSJsGvSyUV9GExkJbL1ENul5LVd/ZZ7OLqHOlEGWTKDI9w5Jt1skA
arFrf3aWEerOdEURGkJy8Sr76auR2cCAHT8OHNxmu6yLs3OqkuWkt4b9gM4wviIpm9FifREye6mN
0dz54xn7ody1Tfya1+VCVJ82ndTcT2uZYcOl/s2xpQ8wB5/0VDsqyWYygSYl9wL4auNclaVzhv8a
+km+8PYaaOLKWDaIdLVnvNSBNxl2KJuo35lzuZrEz74OiZ0K2umGdJNQ6cgl8l/z8iS155F0rJS9
cckLuO9m/nO2q43XFBwghyq7cRZEKzLXyLEeypESVvKlzwqxj4WzMB5PLqv5w4WZGUA5LX4k0nDW
ZWVqBxcu5y3lTHOdCQDNiUZmx9KI6sBxNDopZlYqqns3i64G4ajtaLTpuYACukKJ+agiTuh2ckzi
mLVfCrH2JtEB8Y6+GhYc1yXrw3oRydGiw37m9U8bIe0dHEI+aJ1UD50/sVI1jvwqxVcbwK0xTyHH
KieAOzaunDLCEmrp3b1VUkxTnnGI9WWfMxO3HEleHbLfojw+ap2xknL8UUX1FdoQILxD/8OnD2PU
JKcVhXYU9KoLP+aNLVlYgiYlkCEUBTTBTK/XsCeXg7PY3ioCB7hZXG0rp0g/JpMtQwCr1peZg1IA
sp2EHlWqFRC7LqgXbTnHuBh2U9Q3G65TBQftpr81xkzsUzoGLa3+iuqtM7B1e9bP3kZnQHVFn6ZX
lEjxxm2s6TlnsnMByVaLup9je+ekDMI6GIqtTPO9nqXhwI5rx1xg3ecmHyB38zelIw+AqufzQqdo
04x6OCL9GlJ3pc1UVCiLG5x/Ge/yRrrmZvaze3AgC/D0uPzWD+kxiwS1L3UnB7slW0ixK3f9I7HK
RAVzbsYUNq5KtHuHaaRtUXkd5f7UfZ0Ky1k5HCVmrRfbzG3tY+ewU1EE647WXIWxknNAGjMwNZeJ
4LfWsaUwa7LrwbULNHch/RtBU22tOrtSAPsWA7O/HF1MNpT/mvO0dN0Ry/9C3USxqIxU54Io7s8X
BmTd4KyCT8rCSziISxio3l8PI+jhIhEimGnwrgk+j3ezB+qWw9oDKEJzN5DbsBNCT+Og0Tn3WLqn
SItVQ+B0tX/uW0IsA5n5zOvKTlhZM0iIrZ65j+7EPq0k1o+a49R+dDOnXC2tk8Cdd2V1jvSL4YA9
iKz/dvC22czVWUeZsOZx/k1G7f07cuSa053Xi5VWl3CJW0WNHz79i1XLkyBvPvKqdO/3ZvLFuEj9
Rp9lfpxauRmtNtsbkx+toolHzPp4P7Av/+THbUMItQp6nTfGQP8y7Ysoeu1HwtmGNBhyGn/CfkeK
LqmIebhYVgsv8tUmQOaUFK720qWLs3WqQX2FRDY95dSeV0Vt1pshb4pD4lDcb1OwxjG1rmcSDPQz
JSF7m3UcNCUL4XXkp484tKPTlPvVLfGpzvdR69su8LknrG1fNOtZmsnTQHJGHuRI1K4QYefnYiAc
T5/6dpXpdnqelWy+SnfxD0qU0YbqVM+pthjWZh8ZGG+Bd5ZL9RK33Y2V0j9INGpJvd2KfdJnLrlX
iLN1n34CP5hW33Psa44yLe1no55LcnbsWD1NfpYdZGnp1Jki63puAFxSi1Tawa8X62jnYEynjPMI
JJ2Jc0c1zGy1RnztFpyHizp2tuAT4SS6nfdFWVP3AzakXJcYhzd15AAdhWizgWFvBbop2RZh88CO
BXOZe/XeMJr+a2XY8wmHVH2s0yX60QGGzagBVbHuUEfsLEY1wEjlUsi2SDtYN0v/OAhdY7mB3vlD
pjVB0qkebSmVmsd6esr6XLy40xBxM3KG3f+h7sya4zayLPxXOuZ54EBix8PMQ+1FFndSlPSCoBZj
XzOx5a+fD2q7WyypxfHEPMy0Oxy2KalQVUDmzXvP+Y5Vmv2djB3SR+ADQXlOi/0EEmntybCDooJ0
fm4pLnI5Lg8PKRaQpyeQRNRF1HitFd2m0TAeTKzTlyLu/fU8uWBqca1+bvgALnTF6JUWAxQxf6gV
88k8v+844W//HWOv25UB3VudDf6qHMLqMtKS2OhJx1u8AsGmMOKEJcbpbr9pEP73hBYoNv6h0PjP
fxngtrzeP34ZQo4/Xn/zol5e/cu2Uqma7/qv3Xz/VfaF+jN1bPmV/90f/u3rtz/lcW6+/se/fa77
Si1/WpzW1St1xSK++9dyjPu6fKnO9BjL7/hDjxH+htYNcAeua3KFkD/8qcewzN9wL6GuWmAjiJsX
EPgfeWtOwI8c1NjorpBwfDNs/SnIsH/DPhuYSPU8GzoHLJA/3/krMcw/xTF/q/rytiYtW/7HvyFF
P9NjOFwDsg5Y/vgByAc6E8cFtZErNlqmYFGs20uikWn/0r4R9gEToqdvB9HlS99Q6ri8b1IYDdfF
5GQWPPtsjEbFTJaD6Zckz9vyqIoozA5KDCJct7Uoy20YpxG3aJwl0QZXq4F4O8Ck9UIibboEtcSi
vfG1nYjTbE7aOKishLxFenQXJ485vFfjqgbiT8lI77quT27uxB1B9744DFmD6JxzRy38ozUmkmZY
PV/WQV/d2T0e3GMKz+u57hQL4FQ2TJPneCxv/EgSh9zHcKzmVVuJuvzkKs2xnWzPaoxODEm6kewS
W0zmkznbRXTdBubc7EHmV952JkXAWnGkTMY1fg0G0qGZVB8cDkneziqGYTpUiDqJr2Mbi7azpxqS
Y3tbMb6e2o7UagLqaSaKysuhCwaUDaU3xsYujgkugLGFrJilOQyvSnsqHxpmN8Oua+V4QgtRw3vh
bNOveAvpR6W0up+9hQc0p5IZgDFU1Bhd5gXQY43O2TlZnjIvLgJBNA5tUHLkPRNb/pVj1eP7JvMa
mHxp56fbIu6gUFA9cmiOScv9yth3fkeNt8yf5nLTMRLmZWPvrpi6+qS90ndWnfKQQIOviL9UJdXl
3oiM+5LUSUZdtOJfooLtO6zjkrorcE6JcvTzMp71WxBiKLebiwVV0LL4EcAzmilivtTS0ZOqaFo1
TVBcIXDq7/zSmnbeYD4GrWc+F3lWfoptPaPCJs15KO3is+lWIl61JVQ00tSy8MbPkZxjXEBUvkGu
AKIvm7KPhey4e/xsomJuSo1sohsnxiKMIttlFuA/9slMu6FK0Ye2UWXycXcAljddXdQP5UBTAOUP
SnScd+z4bW5XfFrcuVfamAa0CzphdoHfi7lh45q9sWvjJefXtXIaSBj/561uIdysTEcZ7Rosvzp0
bs9ZurBKdT+p2uhXIg3q51616DfyNNdPzlh0GLBTkbprhnm5WE2+xzwqNSxzRRpvrxGcD91j1abp
F1h1LnFIdjY8j0matBvV2PNjL6E7rZIu8sRqbFtlHOZU0XmRURd/CcMkeep48+TLRpNV7yPa29lm
GufmdzYqUuZpWWd3lcEsbBU30rhrKzfztxm2FRJTpQeTM5qH4sM4AJFchVhlmdwatbgsVSbpTMZG
+oWQaDWfVJJTSYZYjO7QbsZPmLEcILNeFu2JCwleEBOEIeM2GbxLFY2iVTenyT2oAGPYmkab3RSx
T0DrQEDxpzIxYtDBPT9jwOtPfOKoO06x79iPaZHV913v06V3fGmRvRJinHcHRz4bYB0VB7EeoFPt
OAbKlCi8SsvCrYkmYLq3McueKYXT5kO+dkrPvAmMJgp3mcrzgTb72PQXVutMNKVINf/SjMb4tabz
VBwrlYfxrdtQW620MGeIcQQ0t5905FrdGi5f9THmGjj8eb2tTwbtZFKrZqMTGEXL/HOAG3jadaKh
882J239S01D6a8siyobGSd3RDRxE/gT+eI42ZJvQEg/tQaw7oqM/d9Vc3QZjITLSxtuYMhinZr0r
+ySqcMO2Bi8eOXI1h0Xz6KsBxYYJeLego20lv1v+RLZ0Xjb1ey+OlbxQwbDoAOwpOlVxPQW7xhWa
sHaPRsRWzpEZ7BQR84zLpd2iSMvGOUI8PgVPtgXldhUXcyl3TE9KMIr5EO4SAO6HaEL/RbTRlN2C
hLVnFp8iuouYmHRrhxHlbava+L1nKagbphOGMRozTV7HbDpRdJSJTbqXy9emgD3DWN22iKGTjUNe
+gs8X9tfdyPr3qbl4XbozQQZWvZxjJAbmpjtN3bcyjtPC9r/Q1R7HUcPvOD0BUE2r0RTGBeNUzfE
1lZSf/ajOHiqLRRvMP+Qefh0FdeSSdhHEuccxva1xxCeD5xr90Zm3cid4/xBkgPAyNhyaMjpUFCG
2XkzP4x97mb70TXyAlUR9q5NZpJ1sDa6IXVp0FRo7uw6IFwhT8LqHd8ajTA3rgmTIHhx4jvVdK06
2vBizXm1fqrbqqO+DmbS2idNf02NQZbsG5mb97GugmkblHYHiDRz+uM8+laNMXke7nUomUBPUSb1
au6G+Lkwe+rrGdkl4zuLxtmSqYPCaar1jSPHkFmWHY9sumLUX4o4Hi9SP0Ot1s+SGh2mrerp/qJo
pF7gSM+e679vMW1+EB4K/zWxJnJGkBN05HLq0Hnu4UneG2Y1sUrIlNvVH8hnAnbO0a9BO9ZuTOyI
HpZPgo3WJCTSZjNpkryYvgOEQtJ8ok1eld4tGiQ2Id23jjzNcdHYTLmd+dbIuZx1R1xdv6ljJCu9
k1h3mv9gYM1SeFJmOxVPbF11fuEOvcW+13HMTb9NoMMuj5oVwThMpvEMEwdTx92cbDDY9PxC2EHv
YVMy9G48x7gOy1DT2iwD7poSDdK88Usv+H34NnNPWtouK1v3pCG6huw/82dExdZchvkxIq/bpjdT
e1uMjcXzlWhxUU550q4DAHcRZ1E3fUCjSpSKW/ONbB2KiA5n6iJiAM3GIFyG9LKTmUVz1Qsz/0TM
X3bdTpYVr5AJOYr9gm9x02SVuhOVU88XZS6GfVbIoOVY4bXIW4LZY0OOLAw6QWZ1nLriKH8viMVJ
QRO47anoZ9yLka9Vui5pVVBsgLl4duseTE2+KFrqPBQoXX1Lu6tKGZp0dnghBau3TBwG5MTAr6aG
V6LzndVqheWw0gfC6PwSHTDKkg3FlPvopbq2aUzy+a8nWAi3BCmlw9ZvYDKdJoSA09b1PUxebmcQ
/DCiIECHogfrU29MZOmEQRS8yDyOP6KMFe1FDmbKZ58vVLnKOfQjoq07BDDfBExMD1LOq3nmoP2h
7YCvi2nRhW5hqh5Lp/eGEwzS5VGaRbNp2BKyk5gdZvd9Orjmug46xk1yHsT9OM/2Pam/+cfRL33G
07XM9m7fMwhpyqCQ67SpuVsL380pOMxKVrsSFRVl7qhi5V5RsQbOzvaYg590OlTzje3ko94aWWH5
n/wpSdlstDCC/kHjANSIXiaEM6c4lkPyjoI5K/aRGVXjiZwpO7xwNN7ze9k1ctwx7h/FsR2DSO6S
TIjoswuJLNm5Ux8EjzZosfbk2nAJ7u05sgnNEKa23jCFnWu+aUlYyxfjcgYSAv/Pa7l/lFmG19Ds
3XDup3nR5fjnar/8/N2p64+zzfdnGbEcVb7zgyydj8AFmrdgtaAbLSHV3xvVw66pJHPvnHwKONvL
2GB6wDrK2knJmSFUFlZz8pqao/hsUyKaHVyKyE+7x79+Ev6X59vvj7f//4wJgq/uX5+EH16qv13R
rqrqV8fn5Tf9/TAsrN+Q/sDawTkHfRBiwp+HYX4CeQ4ruwmeZglZwoLw52HY/g1PNJsmgjALcPkS
H/HPwzDcHrAEGKz/OEL/hcPwN9jP9zcQGBagbwScOC48oh945Yq+ouWNDoddf16KtCndhwFqWpcs
S9AGMtxbKHEikQ03xuDuRZsenUzRcrbyxyKztn01PrgpnVt3StpTV7vvbBw9HFznfmsEstgmYUuR
MNjd0SsiZDpOVGxoeda7BOTM2jeir4U1OqgB7IxCSzC9Mf3f/QbFxRCWhyCsnlH7NJthCqaV14uH
wTMPGCdoiRsIzYaSX+PKD+jmj1X7kc4aAgvllfDeosdy+OOp/ksNn8e65P/fmjT/aNp8+wb++W//
vSdh/7W+fim/yvM/6v9iO8j6ZTvoYXgpPr10X149Astv+fsjYNs8AjAPYbmC8oWN/49+kDB/c6DT
0GshipXTsI858o9HIDB/4zQMy2UJePBwzmDq+eMR8J3faAPZFhb+EMctv/Gv9INeO9C+xfa53PkA
ED0LIue5v9UwJtSV0hTbGT36jWDH1ivfIAF9VU9lGDCnIw0VLVNszIAizEKdjIEp8PN3q8bPVvLF
BvrPB/Hvl0FnCxzX4rLF8fZ6Ja+I5pH0HLiMDocQHffJCY91EJKdPqRj9DHV2kI+4zfF+771LLbk
LiRbPvNyF51D00Y3+Fx950gWjG+vnSSWF17eUbIi2EQvmPlOFd++cc0saq+umbXJBWQmlqgvvsdv
ITjfYVKyjFofz4a95SwOSdCuGP1EvrquOXlcDnQBtiqPknuJLWDLcNM7IrZj7IUs5DIeaGN1WdT6
eISQp67euLTFU/X9x7lcGtdGWckCyyK3XPp3l9abfHTCEPbWHUV56c8eM/U5zrZTYg87qfRdplMk
adKSGw026ZBqt9sUood9/+srWXbgHy7EA97N6s9W7Z4ZtXNaD7Nov5WE5J6TARBVXxf23C1DhHEX
0dJCmqRJyZz1HL3hcj6/p759CHjDaSl4pJcGZ+bKLoLvjnaR78ezSeWYhil2Vmmfmbt8CIgSCRqX
kxnejH7z6zd9BhGn7kMl6/JuQYDwXBGL+frjl30XcdBu7G0Vx/a2JC+lXRnQng8yyPyMYxtyA5MJ
0qobe+eesZ1Yzf1U3hHlGr4VA39WJC0X40KRAI2E/drkIV8+pu/uBU8HnatJtdhaDbAzcM7G4hsS
NlROfL54T0HO1tlFlzEMRIE4FS+N0MJeew2cyjc+mB+/Em8J0OCZIVqZJezsMceAUekolyFcRgdd
sDPIdufj17iKe9Cv1PdF9CEFsLKOx6a4Tp1ofhqMFE2oa+4KrzJbdsq5+YAM1zhNGZGqM7D8Q8sk
7PnXV/rjfUtJAH6E7APThg939g2qNHNjRI/h1kDKj1YQ9y4gx6k5qS6+In6quHZ6x3mY5yY+/PqV
f7x5KG9wrnt8TqCBxDmFu241fYBWprtAAxahgsXbhxzf4OxgNOgXSmk9ix7jTB4m02Gqg+QSDUq6
ywNfvVHGf+OGvXp8uQJiM5d7CDN6cO7dBKWamdOMeoBGI8zxvJ1QNcw1y9pJ2YW+hxNYzRcWK/SN
np3AOoaLY4Jh+BSEGxUIfQeJy04vIbmI4VkQTlhXsUvGF/0rpqKEng0725zFyXBtOqW1VU5qL6ua
1qXjY7dZ5+ibqjfWpB+fCMdfwJc8nZxNbEBBr58I5M+em4p82DmuUgeUrv1BVBW42iVgYWhrewez
GeF+ZWWfp2EwDoGYhrfW6OVFXn+0YJg4vPAXOxP/8PoiWJKJFamnfmd5zYS3T7VwWQczIzJVAcQu
C2f/6xvrJ18mmytYXuy4wN3R4b1+RRsHRCPmsN9Nzjx+MO263uVI0x9xXFYBCFPCnBvZTCeCVZtT
SDP7YoY2c+Fayr+r6vKLtKbi3YDLZUU+QvauqVFX+4N7mQjwQExuZQl/t8DokrglGoPUoAfi2Yb/
1qnvvGSxlyLBozJi7xVE0JxtbrZhO3OQR8NOMVCHcOiYagslXr53jLi9rMWA0AWbKPqZuDk0Op43
sqz9h1E2d7PTNbuQLF5co5Z377Dtbd3UHZe+fnAT5TY2UVbQN/aDb6Db1991QAauZS9rn0ey6pkF
ug9VbqDKHHcBtoTf0aBl6BbG/gbv5HyXRCQJWTwwx961ynvfGD+HVR1iipLZRsYtXgxNfvMpiDSl
eeCpG6u2+40y7NKgqafnZ13TCnd0Nd1kk3paMs+OQxfh5MsyH8kuW6xpDMP1JHT+Rg304028PEbQ
QhhYcto/Xx8sFbQBLJthF/XmfGIq3m8He6hvqOTmY4Qp9o17+MfXA8dAHQe1E6awc55UwtzEdkEl
TDtrmqr3tjK+UHSkctN24yczTlX+Rgnxk9dzAGKEdLewz/P9vX5kugadr5tjK0qZ+j2hLc+/Gnry
L5lgpatgbN03FtzloHy2KnActV3X80wmvuiPX78gQBRM12Y87xoOk+veBnVExnD5gOC8hQ08+Pgf
2HfanvGIM/oMvPq+QuIR1qZAbqTiR1th/FVqegvp9uNTx5VxVAYrRCnHg/X6ykbVhIZMo2lHggB5
83Mo3sVRQtMFB931pOCslEDZvioFetm2Krn99er1s5cPHJdKjqefZ/9s8arbko4uCY47jc3mCSmo
+AiCbW+gdlVbtbC1J0N9YdDcXCSZ4b+1Kb/mV1BEMcrnb/x9OXJRvbx+90GgqgUTNe5gMDKkCvrQ
feycpl0X7ayR4Wv5GA6Vf4uW/JgmoXPsTH+4AbIT5OsssAu5Qm6IASMr1B5jW/z0Fz8dlxPkEnAA
4peD5nnepgfDfizN1t55lAKHjmH9DZyN5IR7rn0/uvbnYCzb+4SnalehVHr49av/WLJAL+Ev9lST
7LEfiCmppOtto6HaZWlnGfdG3ddPo2mH43UmeaqQAdSeWGPiIkFQ5hJMKjCQ7iBEkqerKZOo9H59
Rcvd8GrB5YKA70FuQzPBuzor3+JI92aZVw7rxIj1cUCEtorMGsQDeZAfMEOfeqNyjr9+0R9uUV6U
Z4SCn+YUN8NyD31XaDN/ihjOCWeX47vnoBdiT1Ouq/dz6fl7ZxjLz3ApxEEFGf+tNqzmrcJmuQvP
3jb888BiIuFQup7TB1HVeVhkPW+nIhv1OjoPna0xFafVEXpye9HVZlYe6YK3xDnyS04J1sLx1ka+
ITcVtqTl5gXS8Mazu/Q+frguMgHIliLei3Tfs68j9WZLCavH/40wP13poh3cNemEFThE1IYJojOX
VK2ZD6baVLVX2vt0kGSRDBDVjlNlMvGETU0iTyhqHe4q6EPJyh4wuyLWStyHNB1x1Rppr6O9HC2m
sVViTH+QZWjQ/lw7c5bpwSrAaDCg9xGwtAQMU5dTw3ffMKnPhYBdTz8klxnWY7oliImzlpYD1InZ
xpEcI9JMbEmsCgbxaVPXlW+u/Rxb+XZGXqH2YxrLG1HxO9cNuO5mY89z+xaZ+MdbEanYgkZj1aL/
en7+92tPFRil/Z3BIWeTF7NLipr5jLcpvLLSuTgErZg/uU0NsMpKd79+Dn7YNClwKNBQlSA+4my9
XNx3n5LTJUmEacLHU0IaaV7Fw62XhOYpFxwezC5q32B+fiufXt/2FocTk62BoCwHCvDrF6TBID2B
J40o0Kr/1Bg2qH3OvFiuEFxGRN7W28hxxwN7KmNrPFYkseRoAwsWIt9Q5XWtcUmj88XzVLoN2IC0
NbYViVCrMtbBe6T3DuBLSX2FiOKNpepbUOXZ1bPVQ8axqDNQoJ9trAkOfMPsF3IDd/i13YXho6hs
eVnHIn5XTpx5i8lIShTSszqFsxutRTyrTTM1Pt0jZB+71svjt/JKztI1lnvdZtPjfz7teTJElm/5
u2+xo2VSN9rWOwQjhdyM7Htop6yoeUo9J6qfJycx6+PIqCxZO9bg1VtEFN5JkTt6oaBDDyvDMGLk
on3WXYU4ogGelsY8Xo64+8wlCnpwTw0irjeK7Z9eeEixLdinGRHAL3p14dwJkFQGY96JYMJ0Tnj7
WGEd9MLbyveiDxVmNew0oqhoH9p9gPtaiPFjL6s0XrZqu2dwO2DNTWUl0H36sX/oIxgqNAGWilsi
LbpLfMcw37rwH1dvdisLhBPZBNR+/tn+MTbKx6chSNxqTQdojC3UCwTtG1HY8R1JsmpXxoHx0enQ
48RWIh+DGjTZaE7VdaZ4sH/9FC9t6bNFm7YwWHOkjA45aefpHcrGvG5Q8+88f5x3cWQvXp8pvag9
V15F0kNKBRvmIqhxhNaGmq4Locsr/uHoY4e+fONqljf/+ikhrYGnIwxNPiH3fEefMYxZpZyocCCa
FIwv87VZNuO94STR0obAahjnEAFUa55ir+ufphybTu/IYauRLaxl1unb2rERp8mheKNs/8kKxAkI
jDRBT+xynElf33NWVcV+Z7Z610WD4VwtgVOr0IvS5taYugSZkZ0m/rMxG2rv4g4ggcaY7eljirQk
BadUGgyEyMAQV4hE6SVHLiq9DbNtc14buYb7pkkKQaXpt4pQQjdK6l2hU8rMlFPLWx/1T7548qqW
apLmCAvA2ZshzQ4xWT6IXVWF2SpNrI5jqBfspiw2IuzVUl9hziqP4xA/opIObvH+eQc7jOQ+L9jY
f/3NWz/55lnSoeSZLupXgjJff7Ye317SczLYJV6pj5lZVdcVzLxgI1xTrxxli62abbmuQsvZRmhT
6ChJ8zYop2pHhLl5wJ/clitwZ6Aa7DhEj5rYnYnMD1OITkvsa4XdG4++S/oFmVjZxxa0bB1n6hPJ
YdmHovS9d79+Tz9Z8znCWrwb4fJ4ifPjRJfls5F3XrizeMBuEpHbVx46xV1YFfnL4MtsFect/isz
nRlsROHXNB4XlFSz0XJO7hX+v9X/4JI4YIEH57Gnb3128sygw1k585ZdTKPo1HmyOYGlVivaynpj
DfhaoP3070N2pWvWhXkzUcStULJ5W81budGQf9+4ph+reNp0AUNjTjd0yM5XoAGZ2QQHMtrVs+s9
Q6RONwyK6itq+mGbGLXx5Ei/fOOo95P7jZYv9xr930WM6C6Px3cbH5otpD4BZ4ekjcFrpJj/VVX4
+0yW014kZXkJa69+n3ZZdtlI0/t9tPMXpG4aLEXl1vsc+8uVUYQkbFt2dela0rs2QhzeuYbwCZAn
lPu6xDZkZEZxBHEQPdaDlT2y0ZykoTv/jU9RfGsafL92ApqncGVfYbLGnP28654XHYJCxLRbmbZd
uLYn7emNYmzwCCsIx6oxNIiUFRMJHAym25Bq2VvhcSqVtFcExKGJLXLUqQRL2GPzrkKrFYMry7C7
T3IwrevZtKGYmeYwdR8nAaptYByx19XcSTgzFsYI4scfXXAc7yNbeIxeqvxdvQAKIKEN67ZxK8g1
rcAWCdyG6j2zW9zgEY8Jzirq457azRlv817k9J8TH2mtlzjTR/jussGalwq6mnlUXNgSZtB2gISE
ALDMy3XgtYbeOGIySLXp3JqCgMS94hg55njtW4WBjxk1zB0fHU6pLOvyr12f2tnOIK2Pk+sQx8Pl
QJUTHawBGd2GYGmJ19w3euJ0kPPe0cjpfk8ta4QUx5vblOOsiw3jgTFYt6JAZFbL9tohh4wg+0bW
9rqeDDmtsT+nA1YttyU7AVoMZwV7Ni77SLXvI+xs3toMLaIltDFCSKkjM6zw2tVs9uWMsC5CUtod
pNsOR1kQ67azgwzNUIQaFshQZ9+gwTPMC1EzY9vmukhgX8RBi8q9Lc1oPyrViL2dy+KeD4/lsMuX
DwpTn7nmaVw01PUSBgxxm2zvN9aaZQc5uyFZzhd1EHNKYNpna03Tel2VsKRvSwHPLcMrvcPew/OC
wOLK1sj+ge4VmOfZxC/I9sqPnB/FG8f1H3ptvACOz2XS4jHh4Hl//aCbTqclUmoE+1mjjkUO1L3K
XHNbBOk1FvvqaMfeAyKylG5q3AFo6dzDjB96z1Ak3MZq9ugDpfLrrz+c89PT36+KGgdsN7MJ8+z0
1LSs/q2Oo203l+PXIp9QxvV+dzv0cfHeRWS4+/Xr/VC7sMJxUmODtYgF5VXPzh9NPiSV1w0+KZBT
eMLhkV90cMA+BMNgrVO35dmInepa92V8BFYJkd9MhuWYJVI0KblYgjyyRL/z5q68R7WTPbglOjQA
Jx7Bcj1rRJtrHzs6xlvsp8J8625Cq3N+P1EYCpw1VM1sFeyZr7/J0JncxuqxXjSi1962dvCKEbnZ
esU66BQWfW9OkouoYEHbm4WtH3DsJzFqbm2Gu9EV4xUgBjnu83ECcyMGDrUYVdL6QyqzEZmwj88l
qXJ7DaLefCHLj7obokm+OFO7qt6kZqPedZVzaYDxxa/tA/C5aKVEi5vmdTLdJSXovRXKYvBVuvGr
94mnRxY+JcHB07wLMBI0ZpodcIIAGKqxKxRb3J+1PsZBUanbEPlnt87KwL1YztegmM1OuNuqi+vh
mIMc+NQ0Wdrs0A/mehtxkvjk921VwG3K7HzjhR2FYwEpB58ysVfORUbaZbcSSBpPGiBJvcljvi+a
dt0XFohCPdKEgV7ZVcD1mz5OOE4lpSgvKk2CIrN0xnob1MbudRHYOEpIqUaUgc9wfHHMubR2zpTh
Ha/p+4373lsGTChdKihmjh9Pa4+xLbnyGL4I1W7Dol81SPxSgIAaB+VQpMF4EE1agFQoQme+yrqy
tzfVqJv9aI7RlWWxtM8msFU+a+s+qkMKolnCbUHlXTif2RGDW5fE22atAMRu7AkvA/PGzNqVoAAP
9MXaB8dWlXEA7sJZAmBH7q5cGrU3WCEXPbibY2ToQ9PJNkluWh+C1Ahv4V/5ZDyJOsdpCtivYxmW
+rGCmDxCOXKLW4MQNWyy+TBcTdWoujVYKrmuR6+Sh2LK3GwV1b6Bub83vGkrEUVbO36KnNdNaAzj
hHXAk/ldmV5T5/vJxRTEw94XXVw9YP+AfKonTAuPwHt7eev7dTXsEUODCyC20viSZ5xdj7HLnrmd
tSRB1ouq9smIFR7vsK0ADxGl0ckd3fJiwrfi0CVTadpdInue620xg3DnPJ8nCCRqGaYQ/7xwbG/x
EBdiDWqyegphcRSnKeBD2PhRbiJaB5y5Lznoq1XaOYHaN4B1hxPmEMEP87zv6OohbN9lRhpku1o3
xT3e0XTY2FU6b9xyyKtbKXAXrAhiMwqU6ILwce7GfGONvR9fVRhgsyUiPL3H/JY6K1Az0XSypK2b
BwMjO9o6ns3xiLPJFsAmx9nYT5Ub4BsPeiTjuDfK7AScLFJbHvCSd203U7HXFuy+vfCGYQMOqSm/
5m6DN9QczcS5KBv0dghkh6CFSkCEy1qkRg89kdAlUKp0Oh1kfk3er0casvqGW6/JYK84c7pykqLb
xUY7+zsv6BBSSRE0B/wfLYs6pxYOeWP4cbQc6YHViKZNkvrdiS9SMmfP++nYA2tyARel4UNXMUa+
ZUEB6VEpMcWbQS+jmJEpKNQtq2P3goiwiePez3E1sW9eYbbOy5UTU8qSytBFeqOh1OfrOXYQHEat
bAosSIUAtOfM4QPidyy6Fbz+ByXT8Yvb9TXLWz2U4ZogRVvurLEoE9hwDlM2LDW2hLGmuw+O1WCj
b4YCM8kgG1GtDFFgmGU7hUigzFCMR9PKekAjY5e+y8c++Dr6QEydvKtaTM4uWm3MXLF72RZYylZ9
OQbuNp6ripK5H2SFKdcO+5Xtl9mnqDZHtdV2Ld+hxY+7PeINdNP5ZGi9GWLDCfYFQuNkK4pY5bcJ
d4xa907VqDtgzKRPIXahYpwsVOzbDPP1ZRuCqsgwCoAxCmsXtH3qaufOxMN3MToRFV/haDEybesk
VAknSz4S8YOKx+oBt6yJ1qNaYbDeqW3resWBnAMfh1jR86jTyR7DTTwoU61dCGN3ZturJy27SGGA
yxUpbW0mm62iX2A9hbZ0fufTdatL+F6ztZUUSe8AK+MbQ3GkT+Mo5VfQG5J2sx6CYmv7SplHw9AF
RXCadN59jPcbRo3rjtZ+mnj09xMV8bDNiil+6rsG8C3xAxBzsUJMRyPLiv6YA+nFwwK6G0C0Kucr
6HVyYb24Xr4rDAF7IcbykG9aX1GkBaa0gDTN7DMuvTS17gaYIit6SAr/cRdMuA/d2t3kudHGh1SZ
FvnWcR+YG6cKuIETnNIXdkfAxYVBdbp2ITby2Ve6UfvZKh3yfBrTesx90N0PkZGylfcFOLiLOiGI
61BRm1Kxqf6xwdZ0yfg5vptznlF8l5m4zZPSez8ov572OfjY/mqu5fTg2zLBw1QCoLxRuQYujfnN
gokpHZbYxNFYv3kvU8Y8Lx39jcq7hNoPQC6SqNZEmZEJFeHM98uRPTq1npO+x5Zmo863L7kPZLQl
hU7dj4MfkWzt+2OwQoUHX7uYJuFvxWQ3wR2zg6neTaIJvyZZwOcSWC0tSiITG7kyRmwT0IEFf4qr
6uY4De50qYdh7KF7sHqtOh2zCyoqggW/vSRokR9A8y3s6X3PI5K6TT62M+S9PIiACfCf7EMxOEO4
CrsMeqFVtfUWtnnxbm7sIrsc6XvPxy7woR7mVgmfcGQyfZGqglqHsLbKPZKmh/rD6OE9hX3lKMgu
pnmdIy5EvlzaWIxSSqzLGVwTe2/m98lGFxq3RFd64rL2DM3oM5bTdMLcyWxWFzADGjxMNMgmGswX
UT6xEVZMQqgKIEqvbam9e2RHCgyJW5jhY1kko3ldMjZLLvu49z6hXYMeGeIvTHA4dhXOxTYG8VlZ
rXpJlJMnuFptXo1TvgY4W/rNdgA6PKyDerHGO3qUag2XvYBqhCX4Pps9rbYFjs4v/QSfwRfFXczT
wnW1vZjXrC40mHq7GPa4CXIoYbVp3xHkbvVk8xoxkj4mUOLKyEzAV16cG1dWZdAv98NpMHiN0CwP
mAvLYTc5tdGu0qDwN2U7YKCL5iD4L8rOZMltnOu2T8QIsAU5FUW12btLe8KwnTYB9j1IPv1dqtHn
rD/KcQc1qSpbEhvg4Jy9176MGAutU04W+aEVdpV90nRfd/Q3i+lkvEFl90OG2ZMnpVqq2G6bSO/y
EVXLmZ7Mcgbq6Ywv21K31k5unfdL1mqxD9R8lnjerF42Me97kB4qV43PXsQgKsG4yZNKSUF1VG9E
HGHrS/OIk/qWNbHqxujCvortDplqVQN9s+35VItazgdWDaK/+nIO1phQde1AJaAld0oNdLo4nVzv
uetcLGd8f/zdvummuGMh3y2BMbTXy9Zr96AyQu8s69TO+Ba9xUAwxKUK1Xobv9P4FPdNMFhwRRha
lsDEtqF5yqpgSo+iDRRjTduF3Tn4NqAJsOA1x2plETLZWMt2DEsNEGQbBuUf09YLqsRiLJqf+YFB
+tJMuXNGgJZu9x1MfvUIg8zvkfXZ5DIXq2P/punkmsvSlgIkhGhviQVe5SRyhAq4rwbcep4WozzV
2g4q3lHtArH0gBIO0IxQvsG17h+MtVJZNq2XdSdvKPpwnwJmhEBIE0AmTZRBapxiCERANVSgyu8Z
aUOfSrjSZu+Axhc7xys75ynC5JJyXzAT7wJrkV9xMGXhU9vWeX9oU4BsSFlzNZ90NwXZ6y2nKTv5
plaPI7C07soKTh9GKmd5MGEVFRfXeECKa0aEW4wlHqQwjGzb30XZNpm73ONFvXM32hyPpvV0CQYS
S3/iMGl4Ul1HhaHaPnR2E65w5tr4msydinDcXTsNhRs5NPqmYzNM0JWx+1l7PPqsqdp1qxceeRQt
GkksmisPnhF40s5rDnazllfb4aC5h/MXyMSTLeYmO+UQwR6MiSgzYk7pvrjh91E1jZ+kq2jegMVk
DUVjRT5KbeO1wJUReCchCv+lczunOSkPwVjCgSW1T6qGLwL/TWSQN8oFfKM3Gr7JIgPyY9cqh5ms
C4tziFYkvNUiGuOlzbmEVseWbaopHGOBwgnMlFtbVkJ2cZgYewW3VoxZ9yvzZgZfS2kZ9yG3AvcE
pK/64S6GU+li2hCh1NhgAa2B4vxa4Jal54aohuboq1py0O8gzexM0+g2saw0qw4R/n56ht46NYdQ
khrsDd3gxXORYm6DlbJN8MVvuli/8vqPt7fBxF3lw3fOTdZ+Zl7ZfbB5ovXe39q8xG25GJe1OSTT
AGd1tuxEqPNhRyQzXvN8cMfj2CygcEeFMtDYdvbbFL0urt3U4fQm6MO9jKWsgkR4basvVh4Zc+hk
CRTBC1GABKxczr6UHK3ueJ+np8zUIcbhStTfbbgp+thqT+QkGa3js+EoESQAIPy3rja2BRp3c8WH
aPaqqx6z+kSfu46pT0BFmcYV8nvkb+JBL1TeICZ7cJZNbsKP0YjWD/hKy7xiIIDZSejoD83vYFmH
OhkGGOJHeGZZmWC72z7O8KvnMxOl9K5qgz6Ic8cmKlkhgx0Otg3GcQdIuAyTIJ8kVKZok/lBZzwP
N1qQ+j7JtvPj0O77aI/zckAu6vCjKxkqZCaQIN70ZGk8qNUMtzprlw/07dRL3zXiJ09FAW2XCqne
GT9ttzOl/KgesrariUD35/JtsNVw8mBrEvgRWNQHclXAED1phuU5pbYQe8dpRkTSlSJ7ybc72zli
eQBdVVDAyTu11Q75UXXH18HENEexdiJ6Br1kJgIj1mQ3dQpl6qNbBVEbsx3kt1yC1fb3C227Fw9N
1w1kuIWsE7pLOwv0s5NWT1RBxR3IRmu6U9IKThF1nHPvrvjuqZ6rSD9hFoWi1MzWvMByd8xLJzQN
A9fLYJQ3bC3yE1Oeuk/wj8JWZqQUjYmbLZ372Barf1zyCVOvsCAcnXhjoq8uOtAEnyJg0IyiZTtH
TkFsVoPlHJIloY/ZJ5VBII6cMmspMSt5UdHar3vQIBmkq3UQaUJ5bTcXT8GNBOywRSxPDPJOoVy2
kLYwXSC3FLNHhMTWNDeaK/PfJgeCdfCGSF3FqsR3M8rQiicqncstcsdc1qUpvZimg767taWynQ2x
YQXj7pTBS4RNNCntwKBWaR1WfV/C1bv6ZLE3x611g0dqLBIzPGUT8SGDrQeEPRFwoOry1vVFRRkA
rtKzkfGWeRA0kPvpnu2wID8DO29t4wLP1644t2sRlVe/jQRt8qieaDjrNH3uh9QKDzeb7bk3sh/J
mErnb2qjv3DoGPiv+4lJQPeoIGE3H6NusqIHt5SRRsuSS3rt6K/ZJUPztY9qNitqLKqGmpnvvlZT
xrkmK2ecvS0Q0qfQomA+93mdOmdJkO8QW2vNltLZA9jjZbstmVbZNTXVB+dlog4mvydAohrE54Wj
7JqMhsonmUEhbIc2L2xSUdoi/Q71nWVwqThOMXJAeL+HR51/YI8JghOjZ2c68VSJCfcKXbOr5WtX
kAU6yx/KqgmaDNI0X+O+a5cceCyGD4hWm/2zsmnKx6VYt/k5bVOtkpoE6/oEF8o/yqJx8/O2mNsZ
ERjiJfdqGBw2c5MB8oK9vOoboDFemgUuzFRmKAcixcMat7aKYlPTPADojPxlr6XXf9kCpdfbkNHH
hT8QavoZUBZn1wlhrTr0aOTYmrDnjg/jtCF6R1cDQMdpLH2/ALggKjJUYXeWPafhx7oUxeelKfLv
7lwA9HC6XGUnBwDMHMMWC7rzPGjc4Gow6pXRFI5wN5j5eIyNHwFJZcwVOHQvFw46EwO8ZkqTemlc
d0+jSl101M7WXk+wcOK661o455kNOCIDTHyPU4fMCtnL9k5UPef2tJtb8j7ZN76ODEz1rlXG+xHR
8MuSKk/r9h5SeokMr9XZGivBCX8ntmKjWUd3crlG0eJtz20RoUqXZJs68UBD/tVUMu+vPJiG9dgK
ZvnVHfrq1V4BH+8gkTfeo7byzY/TcZ3M2c6a5v6WzhZ+7kcnR+gRqP5S1nBcKQo7oBbRPNAKDIJs
nrgDdHiOAwQCklWHpvw1y0BijfLC/Dfn+qY+tm2xpQ/+sjKCrRvj/pjrRfTI2u3wAVIDbV++mhMe
bd3zfcgnK9KdU/rWMwpArz/SOdLk6YYpRdsCZv3e3qCfgrmB9hO70nKfa3o9NtVxFv1CCzc5oPuq
XJzyNmc2OM+yfFKtD+VhoWFccjA0E/XuNkUcn+r52lebQ7tLKsV+tkbpeIjstTM7i1+0xrCZNAfu
DnXYjsn30OxKLatfCG22c1hO9g96g8hYyhQcP/fC3kNgD4hwaIb6dd2KwuHUtOr0aVOt8zUnHUHt
A/SM8JSmAUL6lAJo5YCPt4NayxqGixKDp/dtMPym1W3kMw7+pT/4obH6F5fNKUjgoo/1od8kJlbb
pC4W2IE5/EVMm1PeSt1wiSMrrNS9W0MR2EO/yay9pTnh7LjX5uyn7F97SXAU+vJxo3pbOKx/gJ5e
+Zdw7Jbq0qpO3I9uoz8YKO2UAWQzcdxpQOeOm+Uce6cPSXbRIRXm6pcWvcN2XtI96S6cIjnVqKcM
OIGza4dwg/iKduge8zDBRYynA5z0rqjNQxv1sn8QcvX9HZCEmSMNwMHx+2QVpB6toemPjUIpXrbC
+lYFXgGzGIHBkQqxHumItC3cym2Nzimy1JyKwVr9QzTnZbMfypKMNNsfZ+/Ws5AhnPB5848dcmv5
KOoCF864kabAn1rW4As9zBY6jNtUtFp01XUnfjFsb5LFnSFJ8VnNl660IG7nqSu2y+jYkz7psgAZ
SzptPu+zkMzkHTze0LrTwwzz3DcGbkPKirZBbKdEdVsfEnuKU7Wjkqgm52iR957SrIiq0nlsOyXO
1JUj3dTN6R9JHivtk6kciYDdjqjBiTmHM9sNKGceTOma8rL4TfsKOEr+QA3sqFjVoxJHuB/2x9Tt
s+c5xY8Ri14MHBn6Il+vmDzH+jhkrh/3PXv6rhMt4q21g80U21U9rXc+1d6XTZD5A3jMzQmI9JuQ
6XKw8QtZ1rxi79E3+xptBEfLerlJ5FM6UPuKA+FKx3JYievNlh8NSN8fopmyb+mcD+sptEyKBieo
9BstvunsmcmWh16k0FeaqIPerACtf8AulNlALqqArDLuDC1fBWUwZBoE6TnNxBB7nd9D1rfll64Q
21uhb7DnofWBAGdFJfID73MbkBhBh3xvz6MLBr8ojLw20a37SWPYqHt7ceYmUfyq8FjPvfhFk9VL
X2WXN8E3Zrcr4S618YA/5/ZkH4q6qMOXFk2Sy0FPLvMveDDRvHd0Frl723gIV3OeRPdp6zaYNoSb
0QenmBu8Qw4/6n4oZuZ/jIeL77A2kRv5q6r30OCADWsT1vQh3d7d3awhRy4GH9PZKUd8x+9pJfRt
hEEhT9eBTBRuTvmgZGCaw8ZM+tu84Kx4wimkIeLIuZBXSslpH7DnJL1Xa0Ba9NmglLqA14KTr+bq
rXUGH5K+19bj29qMEwIfU60kdPTZLGLkUpzrVzguMLWh3EX3isbVc1oXQcuMDL1HHDEG+UKIhV7v
UoOp7gRjRMNgLdkRYFmxd1U8sJ+H1J7aRLh5eYoIpXEuehoZ77s6c0CwlGQU7Iu8F+Xvxd9ycMjI
M9sDKOdgu+YattYW0x/3SCgBOHHSDcMycrWH9o3TdL7uV9uxfrMbc55qrQl8sEatKD7UG0/Pw4bJ
L+cljtqT1jAv7ureRbK0dDTsY1kWTRRXpIu1e8CTw8ehrnlhq1rTR9UK9nrSjLkTEQsH3SWe1EJg
wgLdBsFj6FbT0dJcAPCts8EVi1oaVDtReReryqCha8IugGMxnIfemrvuMa8EulOBalKSy834O07x
s+avpt8AmvlV5qafmL81j6hFRn+npn4srtPcuiKu0HNDlgeP9YhtLEh3hHA5Vgz9pCexe2HryXEN
/wyxMkU7tS3eqYBX9cVAYNt2oJwKA7ZyScF5Zg6LGr1lgT8PRcdLppg57+gFuMSMGRBeGEdd6FmD
mz2QY9Xnh3kdRnP0GInAAUntGpJ6iNeOFwy8Di1ugGbndF5mEGzeSqNzCAp0LmbSE9Jfbw2CPb1D
K2dMhCSerHndTPst6OnNzfbSgRkiHYGTRl81z7gdbSBO1jbL74sdDB87lr7X3i4mneAg7BwGRqN7
rxxwPnEZLtvnVXUhKFQy3QpGCmAfUMK6ZIS4rVTDOZxaVe0B4If2yYeN85M2A9eqVZAF91zdudqX
jm7NsapK8rYUk7lYlH0ZHUd0zBynGk2YQTaky+eBuICf6eAb5qkMLWXspjI9GfTFcJ045MHOIww8
37sm9K4z+ZpMYi36ZSTM3fDFrRxUcORtn7wr1So+u2H2g1+chDrQ0+Ha+Jw4ShNeMGAhIUmbnHmb
nPuGnjR4d/Qb9gTweUBgS1vUsR/Llkc+Rr3JQqnJu7z0twPQvUC7LZLW2FCWy6hdD6pMAVIt/C/P
VQW3MJZNWaizgax9JyQkxDtfR/2vpfCqbjfPpVVeqNxK2hbY8Q8FK/F0qEHG56dqpn9DZ40x6l5t
xtSPSgp0Sg2/MzjChAy8Q1gyA2SGoPs7xof0CQnZc37nWeHyfWS5+B/K3k31IQ1G5AuuV20nW09M
03eWS/86JpInFXtyQ10XenNII8a+BTWpBmpB0sGyZjdc/PQyLK0gDAeY4TdwIa2PnNws89+kazfd
zB+6Gkg7aO5xf4SIHaFH/KmDyArBmc2eoqQhq+s40FPZj7M/XYSlZ/yDTfaWiXRhUm3L4UDjwyZw
B6gUdZh7WYMwhdm1OZdp24JT0cAjr+dRfWp5Zyngs+zrLTIi8YYmIi8sLYdP/y1EuX25P748GAof
s53jOy6SlOCdiKOs1jKYmZYcGuyfu9Jx9FlJYpDXYHbP5VAyRKnlQt+U4d1fJCTS/ddnezelpe/Z
TIclLOU/LxxDqi30igaOsO+QtuEjUUtHGEfEh0bw8gJ2rAV1ONPv/DikoUn3fRCswbGSoPAPmBtA
OGinCoYTSCLho3QPae1zykYiZ4YCdJxLka2vbHTZ82Aq8zGXjtkebJ2H+Y561RQU8eReMBwi0JV5
RkAUaSVp0SVe2c79Qc0pEGQywEMGLAxp/KRPl6p9ALqnvmjfu3m0u02fF2tGHr52o/mkMWe7cb2N
by5yppiGbv0FEez0xKCjT0SYE/UzqtlHezKMMqh3SEsJ0FOCS81NCvQzJcrWfVd5GoR7MTKF2+Fi
yL9vywbgeUexbdWvNJ1xhg+eb8El85viDWI0+nR7dcXTBHKPSThyuvlFZQDXjraH7IoVOm2++UuI
43hojPUN5QrqcpEpeKNh65mGJmtp0dB2i9Q+VHPXfc0DmBZ/U9z/SzfErUb8hdg1wLhG6/jP2w7T
2qL7LrF3ltZ4YI0NdwV2pLPD5U/csbT3Rm7zjz4qvs5Bp395aSUPdbbdE3bMuLny5kej+c7//SL8
Sx2MPd2BRwQEwAMtggb/z6+l6Jk4tA6XAyKU9oHNTHyOVD4ePeAsHxpG90di+JgvhhFBWaTTEAga
GLItEO2CjlTzP2ko7l/kcu/FuHwpXg2uEfBgIUCL/PmlRqftJniy68EiX+3SRw2w+XQCka5YFHeG
Q+fZR3HzNxfC7c37c1XwsfIRkg7yiV3xvcM4kOSWQveyD0NLU1v3A5Vn4fUPaOmRk+B3ZoLG6fmD
1ZX60nnzF/6a+rEMoc1lgRSH/oaC98lnSLa+oFb671v1f3078B6stQHGenKY/7woNmLogimofWCF
fTQFJN8d+UndfeuU0/wXIfy/XJZUexCiYWVB8eTxeE8MUAyZlTtlLNrW6P2YBiKScN+uQzKS4fTm
rNRqnW6cRHvtel83go542Uqm0+mW/P/+bAm2CLsnqkkhwVT8+bNHEFiG6IblRowfXwqO7rSbNKD+
sNvyt//+rH9vC6GDENIWyDQxH79fmmlOTqgr1HZwZcvBXCIPJfLAZSZInHzIwlOo1ynkxD9RDPzl
s/+lxUShH92uOMJInPvy3e0dSBRj6sQzD45QvZiKAUDozJW7A+01JLYvLfWXB8px3j/veOnpaDtY
rnA9iPevmT2pLXRaO02mKS+5gwCOFIuSaJLRrajpXU1o6pQFYkb8V3RNPIKzPtLA4ojPkUic69Cj
IqnF1Pwj6R79J2EVxRDb1kabsqAc4KlhEgDWjFpxn5bwq/faG/vhgoystP7mJnl/DeEi28wkQv+G
oOGheadnHYuFp6hTHOCROv/gvLPVRHZhn2b5J22N9PGvXdihsqxW1rRKkpHjFxHdjP5mkGX79XeT
O9MN7jJxP02W+22RWX733w/Z//Ulb4UHfkX+Qev97oFGH15VjLmPU9NI+wCpfFo/icaScEjHxR4u
mN+m8ft/f+i/XmguDY8ofDt03E6Ir/3PT0W+JHoP4s+xbabuTOenpTLz/BdqtDTZGJjfu0E6n/qV
4cnO1LcDo5FEQDGM/pvd7x9z8v+us4FwAVmxvtxso9h/3lVAmeXoRjB+OqY2UO5dgzrw2gyDc+8X
2Sbv2sCp9HXjzFc88Eak9hEHXi7PPWcnvMRkp1Ib4Ip39zgZo/kOwStDDDRkvX2dW5vWzVqSsb0T
/cAybhWD/8B8pdwOgRsO3dk4LGe7JlNCnZyhTe8ijYCDgBL42XG7OLq/rxA5yEvhsc5dcrtw0jt/
o8G2Hwz9nd3mGfgIms6cw5zBJTmDAyjYTGU4Y90hvh9efVAy69dsy0X+2PQ1DV0yg7ZrO+souLpe
77kPzoiQSfu5CIj+vOkQvUnhxwPRzcEYOW7wSeLxTvdEcvrmCWmbWmLalzgjeoywx788Hu+XgoDt
VtwMG1j6KYnfr7JrOdb0GxdxxHggUhgDEVxA+p7YzDLCXPBQdnj/4s4nkRXjk3ItBIFlaOIo1VN5
hRNu0Px0op//Ugq83/VYhx1XgmG6oSCQz7+rT7B5CuBr2XrcylHtxzFrMaYWvK3Zzan6lwWEjfTd
kgh8Ay8KgBGONtQf8vbf/8eQ06y5VQ2AhY8o12R3E4DZzWPadMXvyrXaNXExRSDlylGHPU+gjj9H
U6jDy0SDMHtcZwwpx2IiHu1bFk6ct4nWkO4z/TcFyhdZXZxF2eyROx6u9tfGqsvlI+EtXZl0lMlL
0rYDbHA/ZMax942g3B9WWEj3KcmPsNDrfy54AwTsYRNpNscTVz9P5EIG7zEtjOWQt0teh/150tmy
nobBK7dP0kb+vTMd1MydB9DEPkUEuRw9C0vb/jYefQUbHP4iv5ouSmZLQHYZXTkKO+JRrAROW/XN
qTL7KOwgDS6lvaLCxaSVirgDJ5xhtIdoQu3vDo9IuHuf8Tm11ZGJWKX2gyLUkXlUNg3J5Fpz+mlg
aH8M6LuTibtWzc/FFXN9QIPUh+iS247sWQdDStdZ02/ItqRrbpEpf7Jr0PGpIpcoU8Y0ThePStsf
Cf0js51yyO2/tIWfnTOOT9XZm/z5xW3agG0tTZv07Mp0eSNIkjEUUwvPj91imj6Gbh2Zs2F6SDRW
lA2vt80q2nUoTFVMtqtNAJSnwnIXhKX72y4dQStWj+uvGhXlB7cE3/9WFCFydEt1Qd3tpjQtcpzd
JiNPZ7BJc4YBPN2tNCSLmIzdJdjJEG9pgtym7BBgpdPBkxWc/6pf6Csy/OEUg/RnsmISJQX0tKIq
DG6fpmv4Fr5w2Ua54vhXiBk9BhxYt1gQL/E1XOgD7yQoTvpZQZt+Y4PcyL+JiEzKj80i/cTJkd6c
siVfnc+YZ3EcO9s4X8je0mc5ExyRoOsL8VEzrmM9m/I2PJXQjqo9+Pzh10K8Hi1BO+Mc2UFzsHYI
4Jg7IFwbzbVjA1KHJYO6tbM4/zYn+hKyviqSVK8GdmJ3occuMWRpqUi5dpX+MeZ13mI1NjDgbFsT
wFf0NqEznIzkFrNmcxtU7RNHuM5r7ewZX2ZPjkb8Tl/HL4u95Rrix6zKX0n7Cobqg0Dq7EPdX/Q1
JOkN+0AX+L+23KHRjzMlbGPTkE1e8cfzfcOyGj7SI0cIk23W09LI/jun/wDAfGfBgs+r4YdXbL5z
oIzirEOWCMhnMM1EfHlVKxkQqxnk0S2RxKkryiejUidL8t7Vl8Au7IIwmRm5nVXVH6MgX881MoI3
NCXdOShCzVjYKQrv0LrwUs61yx0EYFKiucQnE7Z78O1Q8XPQ2uGOSaF7px0C1E79XCMEHv2hRamD
P5biG7bCZbY6gM06nfr7bGyXF2GXEqZl1dp3SDoB168joXt3NC7hRcpNyvSFqDoVXfOZZN49yhYe
0rDfnK+1LeioDRoD4Y6GGpe7RraIp8zOxLLvKWOXJCiWheEVpLqemXdaPFllqdbTutDaQsiWExAe
ZXQ6sPDgU4Awn45cDX/TCI2ijFUousl5ZApdvW71ahKol9qlE23Vz6j2u1ePJpkkgM33X/S8BOTV
h1lz3W7u+Z2gRHD3skA7QpJeYb4Y5ADNJQxnb19jBXitqEnreF2tetvXbZ4t5zkPy1d6WoIMD9Kg
snhjKFOR1BrkMJ0ilfBW0BKAlg5bxq7117LA8HKKqk5/xcSIhSaNMkMke7m1n7McXSDQNnLD4ppp
IiB8FGb5jr8+/GQ0MZ4MhNL8S9ODGYJ35i9lsqH8OWz5UnWJrMhGi2lli/RQq1xvqC2dfH0evaqP
krQMvKe6zRhx1J6CtU1gJiEhor7JQza00vFtljPuKqA00OZpz/1sSY8QCeG/sj3b3ri9mkBRhrgD
T6qG5hV8KRHkIzdBspTvaeHjSnRGi5d8NgzwCRJfyRcuXOewprRC4e5HfmLxLxriACSCXCX87mdA
yhYK1eYWXIVoXj6bYmH5qdWYfqsqZvXxBKKI5SeMEDqOxsdjsubbpw2yV7VbvN75QN1WE1ZFWLA4
Qwq76dkj/EoksvYNeQlMEWlfOZazW4Rn1TvlCFlemTUtn/OFaSnr+LKoFz8birfebPZzKYg/OwU1
BE4WLGuqdhmhfv4Xm7lKuwt7KEEX+AtEUZM1znbEdO2LXdS49Gf0fE3CqDMgbJxRT0YmWPulb5Uz
7/uwRpXOMsW02YNJCN9jjbyNyFuRHawI4VK8bULr0zpSKu0QctviYLVuxeGUKYBzLGdsfsZdQoIG
vFEFB2JLgOKrwWl+4XgbEMSULdcZhv+UIrcpgxBJokywMF3WHv4C7soJZ9jmAGNnrWu6nyFDWEHL
13FNTParL09z4Kbex3YI3QW99TTbT4uzhcGnNODRi/H+sqmBcqK3Fc1pt5M+Aox9nqfZi5Nj5sEB
Pi/HnuphYCHHqrWLELVxRUZan2Dxt+ypZO73EA0IgPZc2umbuxZWWu4KUlHkQbNK8GeMHcHAy6wy
6YkpI0BwccTAbtr16XnWVqmvCjL7J9usUXWmbY//i3b9+LNAp0WQ4Nql4jkUlZfIKQKHhxhJkS3H
3lmTmdF9GX1deImqEbMdbKlwe6whICz0rcXN4RFVDM+IjXgpWJV/ov0mSRF6lRcczYCHA/lurQ+r
XqbPUgnw9DahdaeUW5oo4ki+k2Ttb4dOV80vmYWI/HrezIr8YvRXWBYIh9p3eItrFqeCXpgxWgrU
Huxd+DDIdYpnjJ3TzphuuUqOPEyD7Y14NcvqwfKMHH45DQP0enBKcD2fwPWmzG6tpZOHcWqCDyNp
Q9kh8HLWsTJwB/68iMpPclvNwPYTbXdzU8DnBAZUn+H1eykv3sRdG2v4213jB3dtCksyFiGGh0O6
eXgmFx1i9QsXB+mzlY85aN52XLdnzHwt0MGh98r9rBePuICiWpmzB+TmMd1uvLelz7qQuKfW8Y75
Usie53ygqb8JibZzDHkOoqz9YFe5kyFHm4ZPc7uWGxWj78WVc+sQKd4z0ojWlnF4lY8LujNaZ/Vu
i7qlO/Ck8AZlLke+qtjW+Y5xTvcdwBXOAxKxZv/RYqhM9pVe7YcNQR1Lz2a3y76uba3u6rGe+l1Q
buk3shj9Xx3Lib+bTe4313qdnSfMcAx4MD+PRXC1arde9nnbLfklBCwv90XFYn0HF6Ntb4jTvE3Y
D7SXOMb20gde+i1ENzcvZOuwaN1bzODv7Xat/evUUsw/e01mYfhRwDwvYc1N2t+O0shIVDhXsStQ
lh2cvPcJcxAbEVKFuOWX5034amWLEixOSCB2NWCY8KSygsCnctWbRbkBDChZLdS99U4yrokeVMo5
Ym879hbGiym67bHwg4UYDTedwoSqetxOFOgpAYWqmfD9g36w97mDuiFBL9la+3kpKRQzgVnltUVC
4h/KuelI8XQsy90Pjjfeg5S2qktFQ/P7JiZysFzSIH+mAfc6xl0zjXeNjUz22hGDFTyCPArm34Of
znNSIOOfz3W+ec/EzXs+Sef+wKqPwm2ZdivajyqhtIm+2sqrT6RMiHDH3+LhcRqA3jzpQZE2usxO
LRJJ06JKcsvC3eb5+ZjdaS+L8pcyMEocAlav+WzCksw2iRnzZods3SzRhGFWj3pDT3JfQYstD7hD
MvNqz1nLcXxYQ1WjgQb9I0vybo4M8ZrspQSPjT2gm117YugTDOsh+CeCNsuWktR5TuHYLpFi2lT9
HSoVhPyWeYLPSj44ZtzmORsHZOwS3p2JXcPs6i4z9Eu/eMprnlE/4nXfFNIAyktdvYo109Hwl9bd
v3tIVProWAjvCwj/e88pqTPtIw/IpiNSteYBCMS3FgMfQP4F032rl7/BeW+Ns//t2EAOYU4ARyQE
2AFx652JPuLwXZJDMpF7WsyfB1drApCt/MWocTowrUinOKrNK5yZ6Z5692++8f/r42kAABejdUSn
8t2pfAoDOsw9UwmhDfIlEqVBXAye138ynho+R/aQ/S7HBuVUo4c7y7V+/3d75P3n3yY29Eduwaco
mpje/NkVoH269j1mqSPtmibc4eCiC0M9dkb+NCZQPLpkC5v5psZDU09t2e3/+wu8b0vcuiDMZyh2
bLrSjvfuArRUEwLI+wouDDU5kuvsYulWfIn46XdhMM1fffbiv3Te/8Uuvn0qrSBwYQHjSsr8P392
hjXP6VMFat4qPjOx0ZfZ1GPsoFXVe5FjcsjyMLzm5LEi/HOiF9AS1V/6P/+69FDw/H/gCSCMHTe6
/ff/aciEocEszJ05KsrQ5uIHQN2uwkyziQEgdtu1gxxVv6jO69+qKBOPIFWIUv/vy/9P4/h/n3+K
KqAmoAuYwwY0yd5dCbgsdWOTPnvKV3/1OEellN+ib4ms6v3OzC/IVhziwWin+DeP3PjboRLXhxJY
03hPTp1d3peecawnsuKa4bcZ2xITsA5kds08WWwnSoB13s3RCAGGEPsySdNWLizeCj2SpwIWXKsn
6aMge82NrdEm73ojnQ+9eacaAsI9EaQn8q1E9Qn7hde8ohMPnYcwnzBe+CqdshM94BbwRQCe6lTK
yXhxEdAFOUxN5JVYyHEc7hbLq4XBMOw3Xxi8r3YyTU71hnVUjDvTIx8kxsu2P9J+J1vLg5pSXotq
+X/cndmO3FabZV+lUfc0yMMZ6OoLkjFk5Dxn6obITKU4k4fk4fj0tWhXV1lS/xJ8V2jDMGxrCEUE
efgNe68d27+Zkv+0mHQNFssAZGwTNo7tmj985Doi2sUtJpxlYJ2jGWXMnhTuNbJbkT3lCEEu7LKZ
T0NTNUFDdX0NTd4+FHLbnQ9LFja6bI6/vgyMn64DFmEs4Dwony5TNshv31+NapXEDcKh2/u9B+dp
wmmmnYhmN7QntVRwAbx4xBmJjrINE9Nf693gUhlddczLuEdqWKFPMwkV3RmytkU/oN4xyA8fGXp8
xVvdP3nY5km1Jn8r3U211r66xDyg9pxn+0UOtudQu7rts9Z3ZX6acxTAJaDcdp9U+hofLYG1IBha
AQl2FjXiDDgZKF6qeKE2TBj77coslugGh2J0z7FrTPWJ6Ydt3U5mPst9aUGXvffI3WzPKDuVzvqm
Sa09RvdJC5SWexcF/EMrAmVvP4t27UqEvu3cMSwf4vpVGi7xGIuyBjpdAB7dvskZnwQ+Vjha5JHR
U2goZaO5MITKbxYKVfdE+8PCG/A0se0L+czDtSO6mgli3XZ3Vi51HqjIc5YzBxCQ8zQYcLMSLTcR
T6HPcB4TvqinaWzMt16zB3nez4xfdiRuWSkSWBGn+3plvYJCukeXm4pmXfcl8rLsalIduXSEuXoP
1mgtdljIZL3rubHqsAEi4kQ5tUG6r2KNqZprV1NGPzf4eIhzfAqIGViGsSf0xyt7zP2GSL6OiTl8
yG7Ht7DGER7Dpdj3tje8yTKxyOkAuXKajQRR7JDm/X6Yl9wJqeJ4C+mQOiiYJnidCARIU/TjytB2
PVj57HrMQdycGp0syYONoGgMyeZppg94p6j3Ay4A2MzQVhVoHhZhmnmRdP7Wvxq9xmslTnlAv+ot
N7LodRmQANm/0JJRCCN9QQnXFyKdrwl9a507Y2jKE2ImA+W455Qptp1sOCB6aox9bBRJeqi12bDP
cQLypjMgcdkVQIP4Bas7DHS/8KwOJAM0qqoz4k8rVfihymVCMDZBbTz15ez2J7IpkTJpTj09VUU/
EGWoj/rwm6fYj6USgEPqXnsLv9nCU8wftAQQz6WeZmsCXQs4XjL73e3akfJCObOe1Vxo/3CPu70e
dcIG9eL7IGT5+yOCYnQYRsHrmZVm3sMv/ljwuZA3maTvqd1N778+k35a4vJ6oLI9n+AIdAswWL9/
PVfzZQkkBjeca2Occbv5Ok38fYcP8jWvIMsAtRrL88EfG0LLJssIlC/mA7t271U4yVvh6jUNsmNF
0+qCmIUdTVpUHU9ZHPko5ULqoeaikGNNwC5yYUW79Pzr9/Dj2n17C7wDITxWL4an/3Cq0p/F6UCi
7j6Zwb7gNjD2Lr6oyHFXZq6JAIimMwa8GLAlHH790mLbe/79yY4eZwuNA7/Ggx0W2w/b2KYZ0EUO
ZCvXGZYb5IsFgNx+qnGQxbo9+Fe1GPETITdG6to7CVoPbcrXl1m19hAJBQU8pGiE7NTTY2PUMwdx
pMnE2wB+a/1wSodrzVkZTOD0pIkJ8ff46d6zB8TMSWtolzJzfbA5zJ/G4Nfv7qdrnyUAny2qEY4g
w/yxbNHqMU7qhkBhSH555DDv+Zbk8FwNA6MpSnQt/02dav5I29rSXzaIPSo0KkZq5u+vxgTWIPih
pD1Mi87UO06Im/GGCkodzkseBFY3Zecu44jqIJLOEUFOYWVuadjmsNNVViyh1egYTKBz+Ox1yG98
qvvSUigQMkwD9GP4kN2UbFdszwvIimqYHxPRZskZUiKG9RnZriVdsX7EzVfRsxKidlag4fiQdIe7
adsec/r2T39+1P8or+xaftb3qvv8VJdv8sesse+i+f5lbNn/xESyrdv717F8j0X3ltWf3wWSbb/i
r0AyS/9juyJ0LgiaKEDlHE/TZ6/+/d+E+MPYqihOLFjKFmC//woks8Uf/AgyHOTe/CAa0/8KJLMI
JOOC5izbKnISGPx/Ekj2/c3vbvgu+infN1FT8Qz98ayuUjRlYugmlmzCP6Fctk7w1H+XvvL/fBU0
VLxFAHQsmb6/J9xMelUmGYtrYJU1XDrEcs+wT37zJPj+FN3ezHaPu94WcAbv3vvhQaDsCmGwk44c
mwSX4pZpwrhKtCMzyOwE/7x/1OBHnTeFkf9WRbgV4/99iv712pw07OjR3ej4zb5/ixU6wVIvm5FA
XIxr75gvvZUHT+sxysVVXq078lDlfGANV84snf3kSRmd8VqLqo0j4lyw8wE7Kucw0Vz2Z1WnAx9k
K0sKxm/OxJ+/DWSftHC8CN38T2ci+IWRrZE+RkZqqjuxpTWfOfpSmr9RE24t+fcfiU1bSv/CN+7y
Mj98HWwqvWk79yMAJ4oBuylm+1qoqp0uPSBcHRiyAY7nS+qTJeL80zfp2YgnyYHZ/kZStj0Y/tY1
D8TAGa2Ze5Hba07ENMo9N1tm83+70W/+ejN/z0T96Vv32B4QAbFNZriR/R9epTUXdgk4wiOCxnpU
qx4ieduUT7gJXn79Stvv9N2HuVUGDj4WQQEnfhLm2YsvKx42RgQMa8ZC58TYfUe09t48a+dlYSMR
/vUr/nSZcFRxLZvbyAWh8o8ZINkw4LxxcnQYi8Wo1tnmDU6j/abL/eki+fNV0KJT/yBy+ZMv/rfv
yWa1TYAGr2LqMr7LobnsSzfTo3wmMk/o7ZMJq+Lm1+/sd6/5w4UJVNFarJXXFF6Ll7SC1mUU7Yes
HOdZeQWCw8R1T//0NTmSeK8oObEFU2d9fz3iduvoe+AWCE+LT2O+qhvDXOdToTVWGSC0KNRG4pvi
f1T8cy4xMLQcgJPE8sHd/PFMTOpJIzIBSACrh/JuxAb+xurACTh+3SEY8fj8hs790y3BCchfhkm+
JQXtj0DfBhhSX7a2HZHcIK8NX7YyIh4kZwfs5drZrz/VDeD8/Y3BSJapIC9EahwSbjD633+wMK2Y
krTFSGkaQwxC8ZjXJ5lran3OVQdtLuFNwlnGxlsfhCqx+ApYQiViR8c/2kbXGm9zORPtiDOwGLsT
qDYvYQXpLtoeUm/rhpBiJXOhWQIHYepAwIHR2bGzq8eNB8ixRkFFoOdsHocBrDgbMWQf7LOHrAsr
wKLyuuvJKzknUMioT9OamuazR7BRC12qDPvVPEOh4hs7EzIdzy0k7+KYp/6s3q2snUvWfcvUXEyN
0zpH2kMfiKsTax9GV016hFpAvjTs4e0zByIkkgObbjawEdDVOLaJxAgTvbGNaBmJAwnGzh8PWdkR
PBpXrIgCs5RDcZnrPrBKyHOJOCSand+QG4BmanWFN5L3PqXmHrOVfIF+oGn7fM1tuacBsLwLy0XM
GJTdJiwxWOxee7plmEcn0fsnKLqeS0eQAPgK3JoN+wenozVbOykSpIVhHPctH62cRDER0bm61qPS
Z3D8slmgmAoGS7BjMI+KnU5+MYqFoVZPy1zVycEvC2EEUCGgZiSCDf35Sv97FDNawp1VuOhbV2yB
t75E0n8g9s7/EnuuGiS7/rF1GKFOnQtJrZw9437icWHcWi3meibMIDUPgJ3QXQca/vdkp/mFmgAr
+KsAHT+O2sWUzthWNA2x0YPbQPpAppFA6eMxARK5UcrBZWYAfAtQGTjFjTD6GvpIi74hxNnDv8cd
E89oYCIw77ZYr+c81xjOxAiFzvue753MlVWT/UWMy/GBEIoG60gO74nV3tg+eXEndEQyKvPDmS14
cWWzzFv2iAljeMs8AAMfzzqgYyWd+44p9hzErHCbc851io1K+swp6q4XW0Z8bb91WLKasGXJzvRE
AlB7aZWyPmPs80tYgW7YdPdllYWC7CPyGfK5fcI4qz0Igf5kb5qsLeH8bKIDViQGEs4kZwmFhnUi
EJzL5htXPjoHp4F5EJh9HD8BHGzBAzpYGRnKzvj8VugdbZTFCckHqz2l4TwqeVsPBotysGhxCz7b
RSqFSGQwDy6cy+emrDt+k0JDjpIQgAQMAzHiu5kgSbrK8mZDewlnccPZK8ixyQecJMG6pu4UTlNs
fPW1AZoZGKZl5vICuRPyOurDrsSqh8DaeBj1FsJWltbd0gCcNjPgcIhhl2OWGr6174ETyf2CjdEP
aQnX4VpSWDEsS0Fv7fSF++ah0tDD3fEQzLM9G8R0CHm+tVdL7GO/w7VYvQ4gl160sc2vCYa0rcOQ
zYiOaNOKjHirciJT1teE9yhMUz9x6+qvagLvtOukJu7rPln9L4WACLYn/9XW0hBTY+d/wVhXpTcm
ilYAiaNRr/w+lV70YLxkbLcp3hargvKgT92zgfSmvzHdoevPcZYP96OZ2OmZ3nQCL9Kg2IMQA1Hw
UN6TpyOSM6L1NilRzRTvQrIfK/adWHpx0yaZ299NbiOsNmQ1h7eoWgmmJOg7K7qveVEY84PWZnl9
5N6syx3QNcv7xD+exXvWpvAXxBCzKx4WbcavPE0rINVa9vUdQGhnG+la5X52ajWzcAABvKJJ+JJ5
DO7DxXDwL+p2X9ziJidMwYhlcUcRrT+lq6Xw8HsSoZeLdTXSmbqePMfQX5vKmD+doVy+1VQB5sHu
2vRazl4mbyDYtu+5VssvdmNOt6KQPvZyNAKP+qDsJ71TWLpckuPY4XIuovx3vbu89LWv0m/Wl35C
txgttIj5TqJXc0+oTNsD+pZ2jPC44KfudBuNZ2ImmCgX+LlHU5bySkM3G9XI9tbQg4s87mHrNHME
KxbUhGShykc4C4SZ0ovlBQOV7sEtEk6sEcIvEXXzau3YnUwOUkS7epr0iWMVUhSZTQpkQB95jQ0h
xS7H4XPyUWqGwu+0p6QtxA1Gbs0MMIjjieg7U+D/JLt9LwjrVCdEYuPRS4DSgBpsuNtj5ZVHOBgx
DvtBOW9T4eHUYJQ6vLD1wT5YWWgwIpkv89VgyfWWgT0g+CFFYhIktpNqePKAJuwgpSPBMUDyNHzd
efPJoBfwClQCEtr9Pid5kB1YH5W2VU7hCANBP5T6YCZoxnPv1jTKtnuYdAU+x8DF8LZ9tR/oikwK
LDVBeIObD8rPcMjoOiwkDV5OLrrtEPW9dajG2lSwoPvkRsdj5TKXWdKXxeb9Rx565HrHU1hnGDh3
rQBS3CFCSnC736za2naR6tXiHUdQonoQ+1bLE9yVjJzUmmnvHcNEZJda4xvRmE6psysWs/6ihBv7
V7DXCzQ2Fs+QB30ZLS2ooN9e1tNgGKh+PKgoem7GRxfV3ycgHmKUaibXSWjWtvxwtoSDfTHkmo9D
OXG/YXHstCgGhgdpzaktvlGzG3c2ku74MJdQPXj4LtfYKu350Lo+Iz+ffC87aBiVPgvUQ/2+jn17
jGxM+0XgFTXgulxRMgf5atjp3sDlXAGlneIc5GKT3cwd6k28Mo3x1icYpANMDTort6IAFCxWzXsr
Wfy8NLryRFBMjZBhbM3m4zoZ5JxnvoGpb0UM9KYBESojFPpoJmc2RgukxxlxntP18xdAT3GyJ4i8
u0tyd00jehc5hF7hN9OhnrxeD6VkYwiPVRCKwAAeQVovFDmrXtyenN6sll1nbABZi5LnPeNQvPN4
OMOlsGIiGUZvAj3S1UXaMyGeFUmHq8exaQDAw6jgsQLa99aqq7NRU24VDl5hvZbeiMisgKMzBz3u
+WHXk9ZIYACOEh7gciA1xS1Ef5wL1T0gyMh12HnlgKKFgcEc+dkq9aspaWs4QLLgWy2USu9AULNF
gw4vtz1WtyBaAoC7MzsmuXvQ1+N7jriXkhULOg4PJ0ew6yjfJggtczQgvunqw+yuhpGyqiuSq9xk
kXxU6M7gwWB5M1nSS+MsA5dFDSkLBEtpXM+vZWpBTU+rCsLhhB/wLoYSqE4II2yeQIgNniTj4jXw
ZgtakSZS87qVoEoP+uQkztE1ETztzHyzGGVGnz1PkFHeOjHl3g75kudG1pi53+Iql07Qm3GahiPH
9LfRrv17ghX9kz5J5KhzL7snfGfFkxKJKTlNUPeDLqiMg/J7gKeN78YoHRvHkfhGlu5pauuBZ7w7
yPe5SZv7GrjGY99JtENjJ+XRbRRvupOZ7YSF7cEudyEC5dFi+V60VhbCm7lw6tt6BkUStiYUANQ6
RvsMlUPCX5j1+tRozkqww2BgZyHGw33SUtYCATgSrwM/hkp/t1lJJUuWjtrUZryhh04vgGxYHZMp
7jQWSJEL5n0IwIy556KiQcI1b5iXAD1shIEsztxgZbW0hKNLKxwgzE1j4EI6lH/PRn9+YjmK/MhA
5HiPR9sqDtCn60sbketLR4WX70wIXhjNe5+CTmTksoXm2k5nLlj953iJCbeumqq64utsBRhZT9mh
gFh566h+gVlWd+QCjmV1r0jRuBdiqR95AlVAXCcVf6Kba1WQZMsAJ3/GH9h6RadxrS3elRcrsjaw
0SRP/toi7k7aEoYGJfb8MaZVfWWZ89Zz8MWOAULoLdsDEwsFcDLbA7Vi6nFqkY1yJr0MwDEkB7jB
0tFMYpDdWTxr2BrwGCCVTaiOcz78EYbUmZ0TyhbGFKy3KydkxyUxNvkeWmp8v1gDDxHIAwlJypZo
wUgO8pvB/2ZFDgrvHc3iOAZOanbXUx7TEsyuXyHV6tcJ1KzyEfsJiCNuQ4pJUA4rFUg292ZHwofS
szCbnek1SWy5Bn7d2pdsx024mv3U3KM80DicYTDSZ7A274I2hhF+ArBHDtLMUYR4ME/fPb+W87GE
9n1dj4SHnHNEVq/9YlbNAWSmdw+JzfECbW6GL6pzbP41mUz0nbNdRVbTxE8eF0JxZommevZ1eCOB
inMDgYaytAvZkgeHEHHy78qK7jWynAwrBYWtTT9IPU3VhJCMG3aGNxJMTpaR70SWIaVJmRgvTg8r
w0ZInwegSBsQ1GWXJbuFZvEz7+i00KLTuO7mRPdn8t02Y/5qNPh1ALKDiiikaqItWH4ORjeriLGY
rZIuyJ0rPVxdHaopzAmw/b03b4t5200PIKnGGJmeYT4YVsPhbIMpf6VusURk2Lm8bmK8e0E3KsUO
yQUpEQgqgXMIaTpPK9i6kEcnJNC3A1jZijXKML2Opl8/oNcGa8ezq74akPG3V4wF4RtTS1B7dFJU
VFRwGsjGoUVF35H0GM4U6M+ZsVDTfskEAkbemQ+2I63UAKUvZ4ke2oNXPRiJtB70QQcl7ynPvE+L
pPACIx9poVqPopHuvPedAMJo9pYi3kf64JfrWwUkkd+/8jjSB5srPchiH7P1AFjmmzPbKd8clLh9
zHbuS2tn4ycJHCRuISrk0cT3ocFy7MHdMH60+FYb0n8KFs3kJTm5vjTX9WLiBGlHaFj4eQZ4yDFN
K6AZyOfVfnunn3hkRrwmeVoesK40JHjUFLWQkEGYlvQXxYauzz8zAnI2CA4lcFAZYgVKnFiFE7o9
tX0g2NxfEIrcvAxDyf69110tBKBDw5l6jngTRqVdjN2sXsdEz+AndxwnOGFyddcqFmoACfQUqIww
cj0qbLvkg1ww1OwdJeN3yoOBkA9XX+hlNYc/R94kkLD1jvshwOHnXblu4d5rdq09Dm7ZvsVxufJk
hyX0QKIK3UweN9AZtC527lnAs9z1K5CblxXoCfPgj/gbmEoXTC0WmpKvorfSF7LZJeQdkTHPRzyi
jkkBQxzQFarcrX+Cw4ofcVVnNKmUl7DPCt5HQdVxkJOqHgq+6Io0Eds+4qew2tNo+SzidZWo8w0y
HqUYC89ZSqB/FQsCvyMn6gpZFh2gFiZCmneTU6BphRQ+WgFS3PYOVhUy2dIyMWm3dpVTSK+Q2iJ3
sIgvWtqEAhQjcneL4AanOE3b0lCocw7vNMwGMqi00U4OAwaaa0vTxKuvlJhCITWKR85lJ2FpOTBe
ksxQLoZqaTTCP4hwiQYYmiQfQStnhtABXET6HmfeW82eS0TDWi16MON/e4ZOQ6YBgQEQNCdDT41g
Mu38eh48uyV4ykDh1foKfn1bVf4ZcZu+E3UomIcIEsz4pFzYpIGlRuNtoD7V6IKWlYwQfB/NiSQo
A2eunzV9IEatQEOySUa0bAFTikBWyXOCoTp+xmZ28dhOvEzQmVhUw4Mxz+zO5c9Qm1r6BkeLl6lh
/fjnXe832rFr5o3k6jtcWNY48ArTIr3NhZU69tGMVz5aQIA18XYdhqE9HWF/mekEtpxNGA6QkbDt
JUgL274fKJkuWti37URaYaYaf2clZJ9HuPiSKOHrg+9ttcRROT3Xyk6HMiNfIOkb4PRqAlaBoc/K
C2a00U6I2gLotQvl8wDc13FQ5+Jl4NCKhReJapofuYNXe08grrxFEW3nx44Wis1+FZNh1dlSn8IO
CfUnnk4TXe64LBwVav2wlGOfhOHgtGhJH3yxAeI+d7noPhK20IRcWClEWH2e7E+mxyXliJVkXcQk
BvacO4nh6+TOQI4o1NtXv3aMa09JkmdAn3mPPLUaN7AKrtPDOI7NLTsO3b30Oks+YrOPVdDrrX9T
unXxwlwjBhyooard9W2PsrvfmKZB627PfW32QB6ZrdFpgQ2FnHgEuouPFUEXNKaUNSZp1xlaopkM
O6QJeiL3o5dY72aux/fET3VpWLmoGi5XDxblHgHn8sU1F2hXBvJeRg3daE7HoivK7Abx1yAj4FvY
cky3dwXpCi3WUGejiqnJlLUdrXGds9/i/r0Rq+COGKCffauhcY8s302qCB6pZRbi6EAAAzVgrB61
Im8el5ZdTpCtan5gKW+l4O5dqgZl04QeRxeXGjeRbSP7m3N5AfmU49yaRp9TYWTDwNxPAhtz7FZQ
ATH9vBgs2EyMTVKJP0IjYIleP4Mp4zA5D6whWcdAGTHReWUsQGtxE8IWyexmDGfpeM965SMbhAEA
w2lokpEXbvKFkqBHQLCsZB4fSVtBxd3ZafLsawx3gPM2goCltGHk1oNe/cquoTOiktOABIdOInSv
yUx9zTD4UmD2OTAdYzYIOGvEWgCwL9fxxatqJ9ljP6qpv3VGT0FSoboihbfGFmTHrXzG99kAg9GN
+7z2VLxzhnTiy2R8hX+sbx85MccrMbo28FUaTRQVHNDfzLIv3gWuUQoBjNIJueC0PTsLUvALuVHI
8AaUaZigpmy4tFso7qRHofza4ehidKI1NuHDiqUldi/diuMzmxEw066q0cjZWAqCeBfNTF5Ms25v
/FID6MdIICYdo0aakRpzfuPPpPExtqvFMTGL0d9bxlhdacVS9WTzGDHcLiv2Ht18Al/U9WbrhdDR
6D51VQpv3zhxnxJ0YWwGSHdYPBh9bnyR6mTyhHaCCP+UV7J5iRmztqhlRfpN99EK7XE3wJCdCex4
sNi58qXltvYlVjYKxJUPodlLRn/Jzp1KFKxm49c3kES8j8k3if5OQQA/6w6orUiORvGYjQ2JISQE
sS/q57FyQ/jf7uM4Fy1Pfc6HeV+aRvHBspkhErGRiQY5srTXi6YobGTitqi/1MtiUiNlutm+j9JC
LKRaLIABJ6Wf3DSjrZdnsImmT9Me1FejJUAIwGPaDcRjsJUJem0ibqBJS+PaMuEXEkgw9RjFcTLP
Udv6kOkEU4vLjnNC41wclqNrDaa6QNTYP+swAKfQolw5MxFOKw6PzvrAko0hrW1j5raa49XPuY5R
MIr1xbvOHWnfLUx6PnRGYcyTkBO+p31DpwTZMPMOaKQVIw7Dld9AtzUAVMH6Xc08MMzA7k1xZKld
yhNsIw/z3tBib5aSKlUxuv30/VXjfBq06kLD1x6HVV/amJvVWrwnU5fP3E9NzXQfC6cKGsyTKAP9
jEp7yk2OWSTY7hhOSmHXoG8Dh9V5mIaPjem4Jw2659fcRvLHOcrugFMTbNKuwr9t7EHw2XVYMzJv
KXljIztfmJ8JEo7c7BV/HhcLHRtIKIp47mKwbeoaV/PyZUYkT6tn4pMKKEXxazLF79sDqlIdjKG+
dA8plqlPUa8ETeWyJ6G4NdFz6WQ74JbPNvRgW2jGnZmSmxDE1tpjXl7SkZFHwmWB1znOxt3IOnMJ
Fhrt/Iwtm309mWrsaVVNYqyTicnizuk8JgQmIxuxo3aQuJ8Ez03+KOmUhODV/IepqpI4BJ265dtQ
Mzrn0ukyOxp8ohfOVO/ZV6jq9Rtju7YpsXjgRq2SBiPZEiMy+6QqnlgNSftimkvFygjbrnaNU0ik
OzQmMTj5YuGOLrtG4MbBBM32rNNi70DCuAllFhs8x1ONMXcngc0CHMNGzy7La7r8EOfMNC6AZTMs
VILH42XBXFSLCMDN1qhyxvoVooemhdIvCBOIaTZvqUe0Zke5SfXlomd8RHRsb5ZdO94aasfNMAUV
4M77dQVpPCEIm3ZehfIoJBcF5/ISSwYgxPJV6R7RB7kGgyfhU+f4SmKsTg6Ao+1GgZ6mIT4K63od
WHpMjLxCfpX/zfeh1h0UCS+sQZvOPYvhRNZnRMA5l0aTCQGvH9RdoMuFBIxKjGZ5qFmBdNHox+P5
UEhnAIEmtGtmJ5BaM7CBSdjpZtyEPtrUT2vtqj7KWAluRib66j2dp+OFsI86DLlNnmP57rrlgfu2
0na4fHkoDyunAoI4Pb7OStO60huzeR9ZBqzhzMyGeLUcMnUAv61g57tSCoVGmTsg4rnnYoyr7KT2
fiy1hTNuie/sMva7g9+mxXaK540JktukddVHXz9SDc/unlKGLlovtVU7UQa76LTHTE8fdAba6iPT
Kcfwsy8p13cVexrzHV61uG4kbIgDxT5D+oapZ3WOt4vtJ24XD4SAKBsrkAtt2V5OfXfuQYt75pmp
BAuBludtnTl6v2ebX+ZHsymHa8Oxh+GKNiFu7/SC1AJsAA5ztSRxxxckAUyRV9ZgA71x6Rkg5HK4
YVHJU9raZ+wcvN3aDOaecn82QkcvNx5zrak7VEvZl77JMsayJePaABzqxGmeUa0OBEjdV8r3L5G8
LMmllVhSbuVsqu0Bf6YoxY3aIbOsreHoAoGhdzftdSiimRaOIK7cJzmywuzjBwYwpPlophXiU1zU
1avmur0eNYPQWKKvo/PayXEo2RxkRHqNoiE9AcIzJF9euXz1R02Hpdmzn5WFnn/zl6Z4mTN0dQAz
yuHDtwfZfaWLQYy1T3Wwfa8Np1XVBhPu37UNGwXYc1eiK+6f15KAs8gpZ0OGPklUy4nZWDPsOqxF
4AnduiTL0UdRELiz5IQwS7aJASp7b/zWVmnK4dZ3DF5NkmPiB1YRqaKnmrq3yXI5PzRYKkkgYPtZ
hyllLxPQaxJw0PoxYPUSUcEx0aCNMUn2M2+nd4iXdsAmrPuaICYmXqs2nM2+CyaD+L/yaU2BAETo
4Zr+3GPhb+781WizkHgZAjeXzDAROKcet30cGzmRvKu2pZsbjkxPTccuMlIUQSmzW7gcUae1erEv
SvAkZ3Ky/RuPYq/CQ9kTuMNkDGbKkbnM2CahSCix3nwfdv6TTGCynzVOKiEz09TzQbWukLTvsYct
sc3xousu98Y2pobbj5UiZuI6rhWTsK6v8dpLd8BHlJoOjxW7brR1b0DeSLcRkzOdpmkgFGqsCn+P
F4g4dJlYCpRq4dA0zCrtN6Gr3zSCHeE6nPGPmn0ylNEt3tZmKMIHt6CrDWBSN9sxDUvixMcF8xeO
g6KjAbbKyLxmWRBIoOpfFY8pEg6nmJ5QM5cxBDokrZCgRvuMeDrl7jTVDswXa3iQgKOZNTLI1QXg
5N5QC1mCDPLDCnxvf27XnTedazZYxnDyFfGZMMFz/2Sw5L5cFwWqJHdLgt9bUAqhA8nOP5D0jrPe
aodEcD6S2kIfmTN+HzqRHVD7kJzGqLpZHyVZ9vkxBShK+IHR+h1DZ67L+awtSuejcRv/w2jVBCsQ
zQI05dHVGueS3gGsiUK70GJ1112cUsz4gbEXcym/EcPdHQqsnRX0cFYAZyPzUjgjMzuBnSK77ZoR
E3Y/5iggnwyNeR1p7kzt66eF9rVhSL727hmk6H6+iwWW3TMU3co68DTXnX3WIR/YzYbH0F8NNptd
K8OycGEkJqX8ynxLP5hsFNPrucssf5dabitfBA/F+sbU/FYLCQkgkIvRBVNAM3Pav3Rh/0jB/C91
yd+pl3+pc/6fqGC2kUX9awXz05vKPt7q/xVmavlOxrz9sr9kzIb4gxRX609du4UP0UGg+JeMefsR
al40WDYXi7PlxtdNp9J//zfL+ONPcKGPchExsynQbvUk2//fH0KOw8+nJkCp6f0jFfMmIP6bOhJ3
i8/QwPZMA6CVg2j6exGYQgOBA5koUp+TtRtuM+s2Vgz/QD6oqK+PGM3c+V53COI5Xu8reedn17iH
dzG0GdssAkJo9+RPA9pvIWY81MgOEXEuj+n0qK9XaXszqDbKqQrqIJ8PBJ0s3q3TfHjuVTJfAJGx
jfs/P/9/dCk+NBV//3+joseJayFB/NV1COOuGZu/X4H/9Yv+ugqF8QeqZRD8Hstd19B9RKv/KabX
/9ANi7kroni2Aujj//syNP/YRLOm7jCmcLEKib9fhuhqNwO5werA2mzd/+d/c6cnn81/qn/7H/77
72pgw/gT3PfdhehCGUQr6NAUOfSAP0hLy5wItdUpajxDbXfHomI9AWFMzlpqbHbCtDxNGYH5Zsyx
NDpz7r58cm35NWnKL+NingTcwxzMzQ4w2LqTiyQCshlNpnQOkqvVNW9nMhSDwSdXgLi3tySbp/3C
zqoxlgUtMI48rZ2uSYcB4VnHT5NL8oSjA4Hsq1v4CNkx9RhITrDSF5n4eLKMazYJqFwwjDKbmyj+
DUZzmbjvplMDPB03IgBaLX2cM/UJHZ4pHE9oTEEoCDd7TRQPvcvsHZk66aED1UL8bvgTguH2qp7t
i9ktXoRrnKyx2py+BFmrajgzZJXsRr+4iIU9hIMj74QuqkONYI4Z9lwep7W8WvtWnMVaeU7w8oUH
0NlF2H6ZZfbtsPwHd+ey20YSpelXEXrT3cDQzbxnLroBk+JNEnWX7PKGSIk0M8m838jkYIDZzEPM
ela9mN0sZ1dvMk8yX5CiraRoSTYTXe5SAYXSpYKRkREnzuU//49jtALhB7ND2C5xAbrxfHYxa5QI
eSu0BCdhekn3WeNENZftPCn7s4ISCcDEoGfN/I45T3sG3JNtOUYAGPQJ4i/6fZY2ETewyONAaAJ8
oz2zhFydotzAjHAeR0XbUsPrpoXqVI5gQLzsJKtk4C6X7SBSBmSQzormmun/TAAkllR7Rj44DX9G
umYW3aJ5z1/Gxp2V+lQxIBKmLy4EMAS7qqxLPctP7uQlRFtUaPsofATDUlW9zgy+erpdXWS5mMxi
+jhPlm3HWPUiyKwQKnTkgRNH5vEspZvPGd3Qb0jvEIkXaLuUNnI5xwE0JS1w1p2ZA1eeD3ShxKvG
gR3gcvblIO7Hmj5Egq0LoUQvMOKQ1PTcPZ7O09MohrosGtFwPSOAbyTEfryNz/RPGSC/ABkCWWtT
R+vKqTEhfZICrhB0msh2hrHit3LXINzNH4lbz2bWHLeBRqzWnFbxyJ/31Njk76AMbMqkzAF19Gdx
MWsDi7JRi/piIeZSmnHaLfPgbOX59410funr+UUMpdQ8LW5HQPlGcLnMlwHRWwaJFKiNdCb13AiM
gjuDNWWhmg8Q+PVA/6ldndRYuykFAUIclHNmeXiyMJr9ESqw8HAMmop+poTLgQ7itVWUYBjnsDC3
IlXBp21o96PAOG+iIXRs5nSImoIHcRGeUdmc0pwV9yktgmxpBmiBU42mYx7+tNw69kkagePyO2hT
3kTBvEvTascoR58W5WrKUmQPKGQQsjiPqty4R4k5PlGmtNgX6iMMZXaCkNlUdh6NJu5uY6ndyonh
Pea6e6PBL7Q0pDNFK88U323Ny7gvT0FBoEd+vNDc3oxEfBJESGwtryykn6mlWWdIMd458exqGkNe
HCo3sTy9iqTGtQt9+RSNdRmx4balB7fyjAt1NJeg7S97ehNsm+pZnwScDb2qczUd2SuKBe2VEl8l
ZngcjejzB2ixmhHHNmdgIRvNPqXPohVYWn8UhWMj8wYzcyyjigU4IbwB/nOSImneyqbq9DhJ8qJr
BhiJOaSlWqZnfW+RoKDnq1y00GpCj+B3o+W90pyejqZo+Pg+Cwy4BZ5G+ZZvyArmRqeEt2oBgxtb
dNQGI3zuGyrUKnEMKR4GJ240TiQ971KD9y5iaM4GeqJ19TC/jVfpnbzwLwqquO1kmfbmoQTHYjND
FFNqaj3So1BbRM4dwMJjiuSQP1qfXNoI0NUYFgbMQGbh9onq58eWfm8Fd455h/Tjqk0SGoEepzxu
LJSrwqUXhnT8ENm0lr+U7+dJAqZldIyG0mNYJm1KK7Q9lzExemrN+mm2lDuSp7ezKUWPpXvenEE6
N1LJl+MCn5L4gawV9HFOjl3h6LZmi9UxXGp3mhFcGhqHLV/NOCVy5JACos9GTimA5fkfrqFdw46J
jq/fB81/Kav5J+qB+fFI0RK0R6gY+QlmzVfPnVKZtaNVMaahM8JH9xWyxrOrfFl88cOpIJqyxPsz
75JFAN6a6A7Kea1N96G9cFylBbD0KoybXR88M5gOTC4ZrE+LnO9SFUXRZhC6/axhPcCXRv/tUjlZ
NINLTAE18cbikz6XVjfF0rlP1eABlNEZOItHQhMUar3PmPNBMmoOvMJagc5Aa1HKQWXmfTkHEQYT
4ACiL06zy3IDXex6UZmjakZ6T0NikoxmQSm2XJ7A4fLQ0AEu0kAmtVbG4hhI67CUzUevWILnICrt
WIlyH+g+Ahe6l3VGwBCWC5WbCXY4aWp9XdAk1KWenmPlUaxfBqAkZoZenIXx9MsSeC/KGScr1e8l
pH9aXG609lrG42pZnIZ5dOEqTYDJAkscFUskFrEM5J6CT4E0i7v61L10lfLebzYmhQTNpbXIBmop
XWeloP7VDcqwsNEZ86EaZpc+pW8YBEVzF6ypZnGuQpmXwWYNTnF5ChLMpUBt9MOFhM/rLtKOv7T6
maF3nJwcDcKKUYte+7Exky95nXcYruQMPa3+nJJpm+g+AmqXXxsL8DdmA4QbHX1tsoOLdpgvJ8up
dAP8BLLsRnEKtuKcq2MOaJ06JvIdnQSmLT9L9Rb5la7bKK88Et6tBXQSXTWcX0qmeuKj3u2Gc4hK
Vzk+feF5FJzJbriL6UO6JC9dWCRj1fkjLWYnjjUiIw5SdohHQx4NnmAyNcanBTxKqJGlZK0XZQdK
NWRW3PDajZC2A/PB5e71C0Rn2oD7oYLWk44pFee+cLuy/Ez2yLDCU9KwFCQPY48cnvKVuL7TSMzT
wkTeDUEwzhatBaoKp7cyhd4il3Np6EZ/6ITH+cppE6Ieg4UfZBoi3pnVc7JFDMnkatmCkhbzkHYX
ftn1SgMxBysbaFSJ2tJ89cXVzYdSAnBlTHOUB7TmRWkQfUSrP8IR70mXZgwdLumbmPFK5jZEVs6p
Ui5PoVMAoWoV14oMHImG4x44fgpiZcp2DiDPTH21rULT17JyJPqWoV/0EC51QUFotpDoPs7cxZDu
BJgUda1A4ZR2CBOhA7UAsESR6E4z/UEZB49xoUttwJjDeEryUPIXwIIyt6+jKdeVMkeFd29+23Cb
iHWOUPFAtqszKlRgCks37qAgCNywmYBqnHqzbgIGhqwNEpHwYpyR0idxmGI1ZtJJWSQjgInTT4tl
nHdXZaz0FE10M8kC1k+Bt+sgL9fSpgu5hfhgGw48sE8zCmlBeB4Ysi1FQdRKuAsgEs7OsXOnhVKc
YcnRU5DdIXQ1tuHxutwG4C5ApI02HaokeejMaE4BOGZZo+vPoZSbz5ZahybPCx0oTcfTzLtMLq/1
3P1jsSqHkHGepenMNnIjayUGuR0gOEVHduJ5S8tAiJYWaDg9jnAFRui/k5hG8mhqTCIl1zvYRZcO
3JJih9RS41k/V+NhHI1Q3C4WFw1ZmR0vYuUqW2KYpQC4aLKkAq9kp+aSjBRi5jcU/3vlMjtFsflk
GgqsR66MI0OVTuFGvllF5h0I+07SMGnCUK02kCKyjlEXyuOuo0dzRE58ZKEtkNJFw+h4EOHRDBQq
qGvOl1SvDUCjTRLBFpQKZTZt5yq0qughnZWIs0HUiMXPINZz9RIZLg9SVQoUOMkQ01rJzJ4v8zNJ
SrOWIpmLY9JR5zrM9aSCZ2pbcdIV9LdBH5447u84v2L3UbwcyeMsDu9Go4BkL5yNMOgDPM3aarm6
NU3Ec2ZefEvbQySg1KepXH4Gd0/wA1q8lSzLW3mUnC1nyi255QvQNNdpkJ+yh31e6+JWMiFPnkna
Q2oVw6w5A8ndWJ4IAbJSW5yqjjKY6irIyAzxaGohnRLlV3B2+WWBDmQr8RsTOYzBDOEMryIhaz+z
LqYa+okAdE4XQThvyys2ZInaGOUo7bjhUZuez0d9rWFdUmOnAjX9OqIQ1tPI3KJ5dE85OGiN0lA7
if3FpzkKCz1v6n/JG/OOllgDOhvMs6YJZwAF0/xk7ujnqjXzOqxeC1vUnc5nwyjW+rhdHZCrn0PU
5wZZM8oHZPWzPkjToqs3UKyNI4viW9PRBo6GuQa9nffLPMMbx6yeoEjT7GQjb3GiJMHJSlvejWLa
1pQUFUDXsoscxzWFKL1TWukxLaMnESVMVHvSRhcNZg83pVm2NPi6wU+zVVNU7eG2nneBYkOXtSg/
p14kExprl1DIkJpNZx2oxohC5+knJfPP5NAV/D+nLvppnVGoGJ1In9tKxGlUQzQaQex2lwko26aV
4AYWAACVIKGWrguaR3gx48S7ROE5RZ6NWre0iEFAOLMHSXZWpyBHT3yNWm4RYxKXSqMHlSH6oXBf
tEc64Sg9HOcUIy4dR7MzDW4K15idZw3aM+Mk7IpkMnXqVrLQrgzgGfOVea7ixbaoCfSaKtuiEdOk
BuuUBA6EvnMwVg5wypkG1Tjt1V/0grYl373juD6SGLuAu5v4IqHoYpbJGLb5qN1YOTd68Fgq3idd
SfxuovhdFd+aCBYQYimKiRk5VHS3VtIXR6K1z3QiCqIUrtiIkOUCS/DOZEuyJZCa7ZHE/wXPc5O8
i3ODkid59Ywi5Mozj/W5h5JW2SCAsDqxNJPIKwtd0bPSbHyeoQaGI5h5EklsSYMNO7hdIexKGOKC
8aEYPTVakuC/dIuxGXZWJUn0AhdEofMsu4zgLAGChfLdVO07xfxaVy7gvKXWLnBzspEc+2U6iCJq
LCHA/CaUjg1T67qjdAVbun5qCd0wSU4+B1OQz2QIMIq5XnZ0Og250dWrrPl5iXjdQI5UiI3giPWV
gR7kWUs140/LQnOBAq/uY4N8n1IOR1jv0aI8DymjdkeGciH7msCP98BwDZbh4iqYj8CnZMgBhuEp
bQFDqG2GGS6Yo4N8DpNbasw31jy8lxZSP3UAhmtSSuERUlanvCWNQPHASi+hO5PwTIDRhfKCupL8
BxxpUouO1IRgN/88m537wFUSH1LLqZPO+7JejpOVehKnhKYqHthoIcJ40GfzKM9bTc2R2hAXy20t
WrY9eEMIjIOTwpotWqvUCgQ1GnWHkYvaKI2Ko0dF/oQMfadYxVduUTq9Yup9PkVzfBhG/rAoEMJb
egTXxejCSQpvAGD8JOBzEr9U2rThTFIjPouaJqVAv9eIiKabWnxmADahxxNxdPfzyrfj/FKLbNUC
ap/NAxAGRRecWx8j2mznKaTPrjQa+Nl5msBmpI3C62Wer1oBxObHZPxvShR5T5uLPAPqBCtUXBT4
+kbzvDTUW1qH75RUDmhQAx4P36DUFzBIinCeEo61FSBmWJrOE9eAFDhf9PIk6jd16TxKEXFGuQPw
2S0MR0k3KG1tptlGbBiD+fLrzFsOZmQSEJQRvQqrc43uHhgUxxIz+qQ2Zy0IHT4H8Srs59l8HKLU
0jKLsjgvS7AWiBG1Zd2hnS8Gd525M+TuRZY5shDLAtgJG61Dtg4EZkPXVbjV80ZPIs+nLAPmjooG
qHBX/poIbMIyw9FR5WzUk4FpDgvNbJzQEjY71TNFojJCGoBOWNRTR1Sv01z7haTy37S+YVAR+HF9
YxgG2SSYTJNKbhmU4ba6ITc/oIIHFwY5Ytq+DVHEeKpumB9ohtEh4DM3+eNKXlmj5GCJhnd0XFRR
LPle3oCe1AJwLAkNKRLVP5NX5u936xsmxRN0fSSZQE3RdfH7ZywJ6AqTJkVsoe0Bg0GdIEwoiANk
UqHVcJYkhJdZtPyiZm4md/KiBLcOu5pHl3/gZdM+THMznWTykm4Ln36fTjA1ddxVEMwdVPYy93jl
lU2wYiu0Pn3s+3iumAscNIC5HlTB9LIuPI0THEOt21YzNZkY6lJQaDUso+uXmXZsGiP0lGnahAk5
ni6KCzVQZ3TlwqUetFRpVt6h7kgx2o1XoNrRznN6Zq6CcSsgyWuri0i586nrxViKHEL55mpFQbhc
Jl9KidSkClLLaSHTnN4pamy5kNOGtJzAnA9SUI3o/mt7Pi39TU0idmhIWhSR1CX9NFPQ/w4VVZ3o
wJoabUlNQgr7iF23G+A+/OMV2iV/ZMuMDIqlZJSiRzPDiI5BMiLrCwAzOoPRYX5iNol3zynHymaP
HIvTVxKPRgYLXYRmX6W94tYDaXHi4u3RBuZ5xrxtzBX/fE6/EPTNLPcfDS/TPqUgw7JWCXLy1CDs
J+uHBBIKnxZ59Q79oh1pIUe0CsxI/Lejpk9yW13IxSXN9aSvwI4XdzH4LsQRpmUJ+Z42WmJfRumM
eNMweYgIgNfXea6pw6W2nF8gtaI8AK1U8p7vmyIBiAyvfhzmvpUMy6kvnchugXrCAqlyeP4lTzDT
LK9CtTDzTrBa+gN5LtG7X9Cz2CBGStLLIET70AK/zXt25mc03bqfYimy7nXwtlonHzUVuHZyHYJD
10JBIvYymvx8zbo25g3vng1OY3te6COafhpzwoTGSPAIpiMtso6zhGzYOdnc5HKVJatTolhT9MiF
oMIpRcfmoGFE0j002xLbX5OmHQ+KmSkV6Zi2p+mIeABXfmrDBJrP0FpfSHeq3ihsVJJUfItlBm2x
R8QaIvIF5rmNgTc0QDcWLVFOZCR/NEnvkoTJ8uVwinCp054iq7JqzcN5dg0t/Gi4mJVNPgNaQWB0
puODmQfbMADFShIIh1G3QO2t6IpqmPn8kluaMoJpLMFtsIdCtW3SeE5XkZyoy/ZiGjYQuie5T39L
A1PSolFdPzdp7yQ4hH/gQp0VYaMTLRdFAoFHk/5P1CrCwaoZFUOrkU5PNCxQ35AbM6iaw0wwLs/p
jj4JVSUapKHhx13Nh0cebuKpgkPcLGZaiyb3YTkC259Zinw1axqknWh8onZTuiquke+kzSvfbYou
LAXpdl+ZgeBzUNqk9z+myncLd4gAwshG8UTb81N1z7/nFSVpEOe+dkkNUm9yFH49GtrB8wro0/+3
qX82IP+S0Ia0oGEVl0FT5s7ZXFT8yoRkCT2xJvcVb6HJpz0V4jX1A1qrcG1A/qCaOnfJt5uKX4mm
AiTIqH9SjLd+qgIqypvfy5+aajSbTQsmH5PCvipD/1S9pxKQo+jpkKj2jdmon41sWoM9ep5gPs9C
6nZoycHKj9IIlMbaG3xFWvWSXH+4BBmTwl2NuoHcFMw0zy7JptxAYWqh0P0UkSvM5ZFR9MlkIcAM
rdAgjZse/Z8LPTvx4W2/auTkGwCySrSQL9ITJCTmTjuEhZNiHfymbZDY3mm24IeUez8XJQqxjuPE
zVNWVz6OqE7TijEfXbqSv3xc0Nu9BDlM2sSnrbgzTbTsU9KUcehMAGv09bvy2JUKAOREIYXTpTkV
17LhymGH6kqEwnmCSPrIsa780ne/EOQ4sJo0QJnTVbxY3usKxSvSCHajGbig65WM7kVP8bGlVgxA
M5GN8GuZSdrQ1BaWulna/0Sn8mmqx3ZmoxcETOUqnyTl9STNvexbiV789jJ0g+w2/LU/2tb69w90
NFl/8m0ZTf71Hx7DPMjEDKYgsZ+fV3mXK3A9o/V0XxvAA4KT5WNG1pofdLUJ77NpgLbhC4/TQzLq
6dfqB7A08ISCgNh8YQHwfJ8t0I+W4PWn26zl63/z2gNsFmcw/td/kDj1FV/8Z1dANT5oJi1ATcHy
/uzRJfUDZg3shwL1v/jaLPVv9Oj6wS9f+wBXnW5KOI7rL7Aqz1bA/AAgBn5D67d76Qav6qCXroPS
UQlx6F7e9+SyWBjBHQmJ5vrrt3v3kuCuO2gJVOWDBoiO2xAuM/HFMz57+QDthHI2yQjxL75+uyUQ
mqqHrYD+QQftTtK3evLX4EPBlfpkEoUIAh/0G518aiMHPrtifdBNWbLwxCqvvWF8sPgFj06qYf21
OWq/0cMLGN5B712TPnC2cVB1eHLFV3UJJNIzJtseYuXfdOfLwhE/aAlU/YNJe42CxsbmGRnw2eE3
P8gKrjVUjpsFEiv0m50Agbo9aAlgPZbhiyW+kTcPiUF9tgQatoFeDAs19G8r9LstweatbBCk37zI
n3H+rA+WJLCqWyO/cwU0PwCWJkO5uWp+IxMgS4c+OkTZ682vozOz/qq+/QaXI72pOL9P5+P3u/7k
w31/7gAR3csko/esAQ4wfiG+v7G1Ar+bEZBVHNbDjIDywSIhoWAJ9y1BQ2Yb0OeiEnVvvjYf+K6j
8I4/+hZMth3XG6/DSHeS7os2f/QH2xDq5e+fwicRI6HkbX7PtKz/VMSVm0//Hmf+WyXMXPs7z34p
kOrPvq38bfrij58e/vlnPf9R5VH3PsP2h313ktjJo1Ou/5fy6anObZ/gtW0H9th+Hg8ruGrfJ/ki
cP62V14btYeiQODZwXg7lFhC4XAdOvBwsnQfK0UhNJcOH/YGPYDs6JJ1SiZHTPto6Mb5hKtsO/R6
C4gE3aEPcBeAuh8f3WR2Nkm3w61HV/HJDh29zQCJ7R199CcJDULbAdfjG02Tk/fDT2Ay73q1bTtx
Hx4mOznPZnPd4vHm+Ps28Lew4OUBrOY4fv73T4/7/fm3R+L5oXrlUP41Z7I18dzVZLuWm82x/W5v
Mut9Ly5MM/voemdbaDXsuo53dGN7hT0Ok+00xaSN17bbO3dbL+ec+LZX2coimPzhPn7nwP0wGOco
o29HEhOW6jjg5yxwYk/zyozBp20/6Ndf4CWm2q8Oa7057F934Ojckg6/MZ/P/+nCff6jjsjwbu/7
yuHe/mb7w9euq5btCEWY7Sta7wW840P3GB1ZSV7ZYaK97NBRe/bK5v5I3Gg71mbvvrkVNkHOa+sw
SHbMulTDjTdIE3viVeYqQo9Dl4G5xttR1gsgfPlDB6WVfryzBKIGeOiwp/nCdrPtOOvZKjUMezZ5
sIOqjyLV4b1d+DtroNdwSVxR60kqSyAyIoeu7I2dj92jj4n94FYs47qYePDgZbIzqlzDIXvyAMWc
jzq+m7xwBOUaVvvTJM2OWnYw3y6x2HSkqrff/vot9MfEn1QsJZ2Oh496Hh6x6f4xPdoNGuCOPnz0
XsiwRzf5w9hNMZyPlaOosldqMMu3efBwBCSA6KFi8nEqaDumSn/wXv/4kB8N87Syz59Gr2GN/ut1
56Zzfd85/m9HYvNMEhZsd/+T5oB+SBHlTBJ7pqoKtdnXT9m+y/o/xuEn67SJSbYewG/t839M8ofq
m31rZd++zj/iHOGIrgPalp085NVAv4ZN8zGY5q5X9c6lGoyMmC3hRPUgkV58fa+9vSK3zgSr6OBG
V4auw6y37RILts8CiKL4oRNv7+wOrQb34ThEOGsnHNSVw+e6HTc4up5E+YPnPm7HFJeQXsP2IL20
m7Wqw8ASbI5J+uRRJfYWGnGHvr4+7p+7HWbt/wk9sUNHPWEf77w/IGaHjzu06fwLRAZsO9Z6ygK/
deiUBbA7JctmV65gqQ7H5BKAURaKBEclPwgNxeHT3uQHT90sS9fW9BzS/KoFadZwyDefcpY/7nid
Aqdw6MLfJrzRsT1eT/82fLCn1VWSaziWt3ky36xPm30ZpvuMoSy/6TK8bcY3C3XvBo8sy/qJMgz7
xiog7Fp9M2oNq9eC6tlNnaN7N5m6e408ntHhL+nu5tVPqGEjw3tpu0nlXMt15OloaLMf7eqWMmow
cTd21SuC9OfwZb4Ryf5OTjoUCfjqZhH8QIcetc3uxIXJnD//3Zv45XZIYUU10Spy8CeIBxjafEI1
FBOAg9rs0OYWOPqnLkmhx8k/b2ctHkKRjLdTpX+l548487f+nV91+zFD399Tta73F9XqPnrke6p3
Qw2+yceAvH1SiT1qsJgfOV472RMBM/2+or9WWKQ0MnVzfzuQ2Ix15P1oRWJh1zdJf5KsJtOwcIPK
ktRxPzJ5eychXMdt2ELVjaJcZbpKDXbseBL4dlLJINWR6hkkLEO1MqzXsOE6KT1f1UVYtwv+GAL+
vqrZavLo7Axbw9p23RflcQHIPfR4dO0knOxzu8AuHD74+iLYjiOOnoCPHjrlnvtAxXonN2zVcEn2
iAeCdFK5fd+ul73tfPYmCYF+ddg61gHIxGPFMROYsUNXt52EODkV0yA1axi3nwfYnMoiiJ7Zg+c7
eHxhHICP1TBuZnvV2dYRVJ1Mkp0NBh708MmekEca2mXVt5PquIHO7KzY2Q1qDat75mZOvuuaCG7O
g/fDjRcW9nx3yjWs8ZmLXcd9JtO9U/hVazDvZ7Bm+Q9hnky3SyDMJY2A229/vf4yDL0xa7IdaD2u
VkNkSGbGrmZOJK0GQzEUtr0y2TpSjOcTAv7kZa1FIJoPNZnn0KnbVVtRx9UMPe2O1yPVkbO8hLk5
n9rV+nodSLvrkFuuevDocDp8ecWJnuwOLNWwgW/WVpM0VzULUUfUcRPtoEPW4OlDN9pNYRPQJePt
mq6DGbmOJV5MxtXLYw10Pni+CzdbbU5ddco1mOO7uQDgVNwfiAW2H/Pr1vKp2H7qBtNxWA0bBfD5
0CV5nYf9wNDjNRKUA4e+mSS7gAmjhtV+oyP+wEljmDMHx+hxMt6N9CRLr8Ofe43O/MDJ//k/hPnf
F5oZKix6YOdNSNBBO9Dv/6Yf/del1mj4IKp+T0Wd9Qo4Xi8QtNW0WvgIkviNv/kdYPIfv+7iqel5
2rUfT4/8TgQq1XlA+ULHYTvO2pejV3j7/dbs/eS46c6tLb1MMv3ciJ08Cas1UdiTX1rnnxt0c5r3
AdXXnRY7pvnnxl4nH21vZx0AwB+4tDdCC2MfuF4Bd/fC9fy5OV+Ik1CdsY7Eu0ojqUoblWGCu3mJ
mPu5z7gEg4f27s6nIH2gqfS3qDLtumT2RTvrDy9GyiXvypuxZ+ydjaibiongg8XFLtN7rUN+UsMH
tQgw3Mc9DRXQqkiAlOjO4/lQp7JeLTK/97mGkzSMwsz2q4sIMkqDcUym2x2iFwUuiNeu03d/mD11
ksnDdpWEfUAXwxD/0HlLXyWUMqKr7uC39a2p4+gHkZUJXxotXioEQ+wQmp7XQjPsvqzcWqn8O73G
5vn+ulsK3r4XW/o9d9azR3hxJz1/GvHIdH49/1FHrMV3IPoPf1VjR8vG6Bz6XNX7+Le4a5Op2NDV
+gutBD/e5u+0Sa3Qc3fSX3Wgu1uJvXIrAbjywjV4trPeOVlRtqzEQ+qLC+YXBg290N/x/LUaVrbz
CHSq2v1TR1teF5zXo3PUy11aX7bvf20Fa1iLru3Nf+iTv3AUfn6te3m5M2vpVVv9zn1xk5PioHXz
+XJIr9427xz4ctO2VFYHfu2Kfu/AkySvDvqag/HOQe+SHGhrZbKw0Ww/Zs+d9M5x76EdXdH6Wdlu
3HtvjbzP4L9yQ9R4DeDkfCcr/RuBHfaGRwh1/b5vQoSEf8Pr2JvSTFw5DzWUO0GOkxDfvkth0988
Ym+XZlthli52jW4d45Kwrva81FAZaeVJHozd50ug1DBs27ErGeWXcfrPX2VbHLdguxRIyzbsdpUs
u6psH+PXLe/xxA8fAQYTzL39eTXswDaXaBJW2+fetvNvb0I4J0PU6rYLIrZ2HdjQb63960zUfmz9
qxHuOy/Ath1Nju4nybjiYbyaE3jnyMczl5JoFQcvpB0nPwoj3zluZwq58nYYsdx1YCARO7GzELvn
CfczmFRMlV6DTekAKU6qw9aRgu9kjhtGVXNdBxBXdM707N3YwXzzNn77vPTsh+ohNGtwD3vOzjXw
MvX382bw5Uagx2y78X7d8LX//D/Z5Gj8j4Mi3IFmS1ING+10gnzCdpbieOzJB//8Wpy5D7teAWqu
24/59cU4I7+WOZXLBRXaGsZ1H3ZWoY6+gCHcOVM7hfFhO8P1AtdxjQAACrOsYoRREth+zK8vMIAM
e1HxOqDorGXYnUFrOMVDLtLHXVBKDUdiaBNE72L/oeqsYxnEyLuJfKmOa24YroT93e3KqgM7e+7i
4m8ffr2D67gy1qNWb6K1/vKh9/3GDKNekKZ2NbHwsgbz84bt+s9/z4MdimiILrer8+sH75rIZKcB
V9CtH7oaN5Py0Zl43qTicUI6V8PQm3LXi9IntL41DC70Xaq4pbWMysHrIUi87KOzSbgDJ5FqMJ43
gKJ2y4p1cKTc0JpdDTDruPlvw2qUJteRl77583+FR8jc//nv63aJy+TP/x08utXysKzUsNYQKrg7
FUTAEYdvvFs7WO0aaLgLDx/4bvrigNcBriVPgFylfdS104pbBPPq4XOGBNDdqQfItVCCkYcRPcTb
GYpLRa7jgv3yIgaR6wCUfnH9B/thUXG35DpobzaQgZfnuw6kastNjm5x5iq1J2AC20X/9bvq40M5
qbw7Q5bBJyG6A6s19B/0ELx5YP66jLgsIpy/YSL265SoFgab6lVRg6n9CKzzwXZn1YFrMC8fE8iC
qi5gDWEBvEZTD6qG1Nnu9LV5qWEhhpTs6HmrDFvHhJ1896XVcJG1yB9XT6lSw1xJiz6E4+o7q+Ma
u0ncozMIqSqpiDoyBpS8qsXhOu5F6CGnR6fiXzcfr59vB6kOn31Ayy00BdVFluqAODDy7qg1HIsT
O6qaBqkOxpzTMpmWq11zxi2zXe9fv7824MLTcCfBKinS4WNvbvQ9Y9dwpE/hdpw7L5ekhnN9Zldr
EqCND18LwNh2+OKI1IEoAfxOgXBnL9fhmZL/GrtFNVqW6iAlEom1cvdM11GKOJ9E1TgZldLDX52A
e9BsuQ+RLpm1jD9/4apIdfT1XgKMcqPoBc9LLeAa+kTsCLOxXd+1Y1EHo9mtY7u7DWCyEM05NN9x
a8/clyuNu17H0C45q+04Gx+rjhkT0Aq3cNfMyXVYpLvVw2TPctTReXnvTjKQV5X1qMPUXcCUERZH
gwxAQHT0L0cd6o5hlj+dzOcfJ0TGangBTx94mgd26hBD/svR9j/dfR9qqHVE2DcRtX2v3GdvwGnX
4fsM3fEYRc6OnWbPF23DQ/3jc5a+s8z8tGo3jjsH/x2wat/+c0P7+fxDwWQBA38zRn67Orq+VWxe
UOJ6/++//890bpc2TFclhSdm0Kd2CgfcvkWl2wGNyRpyAbcueIYGdblqMcpA8ESpg8XuZkJQMN9u
9/Rfjl07LImX3KMr8DF2JecltLbkOmoTyOqOQxbw1p4TRrpVWnULLVTg/Nv3+SM39C9McKxbWf6G
GQ5BGrSbYK+jN5h44GvozfdYNx2VXwQq0cBFgVcIVb6NPvjr3vu+hqC/4S7YiJfAP2z7YSVdUAcT
SAv6ll0i3BoizhuBrA/3UgPWEdC2Q8Gn+E+nE6RBguk/7zP4deAZ1nGzoH6G/E1g7vd9Th1kE+0w
3B5Grt+NCyz8yzoYJ7rurJq6rsET7tJQL4jat8I9a9lv9zF5mcUxa9hLT20PMEaUL7JEdQiJPI2/
TmSIly0ak791o4ok3bjyUswaEsFQ61Yc55edjPn39rF3OmT9CeQJTzt0/QzDx2NITLztzyoPQcfq
dqP96D5/2xk7ddE+oq61HUlsWcT/tt/++sBtJyEcgpV6zw0l1cHldj5ZHLVtb0/nfB0kaefuDlVw
HUjGezsAgplvF3e91nWwf54D/qmOWseZFQv8ZUIKqMpsR2f/9gF+fXdcutkjrK17Lxf6aGv4ADuC
Jl48wh6Io9CKPTRJccnCVNfcquE4ckmlju3tz2G9bKP/eQuzYXLtTzzoxv/L0ccUuuEUaNDa2ECo
LBIYR8Rh7TxwKn4K7c2Hr9ltOKcNqbJqKMrWMS45ru0wm6ROHbPNYbPZmWwNO/MTr9fdcEp384yE
RWXidQAXXziZ8tuR39s3RVukKAUf+fbQPp+3Rgu1YdBPjSgoAh6qVge/1N1zYUH0C4MwObrIybjg
L+5141BuV5HkVDWT8EcItf7GAe8+6oBDA5/nYZywza83dG9eefu5xuh2Aq8pavUmIYzhlV1bR3L9
Ok93Kg1yHamY2z//L1ijcvJ8s0IMsf32RzfY85XsPPXB/8f0Pu7jeNi+lvW7enqxvL3vV1iVy/k/
QaP/PnKJv+FT7mG2+Ps95T4ijd/sKfcd56qesviLR4/w69/+PwAAAP//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374298</xdr:colOff>
      <xdr:row>1</xdr:row>
      <xdr:rowOff>0</xdr:rowOff>
    </xdr:from>
    <xdr:to>
      <xdr:col>15</xdr:col>
      <xdr:colOff>367812</xdr:colOff>
      <xdr:row>5</xdr:row>
      <xdr:rowOff>161330</xdr:rowOff>
    </xdr:to>
    <xdr:sp macro="" textlink="">
      <xdr:nvSpPr>
        <xdr:cNvPr id="27" name="TextBox 19">
          <a:extLst>
            <a:ext uri="{FF2B5EF4-FFF2-40B4-BE49-F238E27FC236}">
              <a16:creationId xmlns:a16="http://schemas.microsoft.com/office/drawing/2014/main" id="{00000000-0008-0000-0000-00001B000000}"/>
            </a:ext>
          </a:extLst>
        </xdr:cNvPr>
        <xdr:cNvSpPr txBox="1"/>
      </xdr:nvSpPr>
      <xdr:spPr>
        <a:xfrm>
          <a:off x="3003198" y="190500"/>
          <a:ext cx="6089514"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a:solidFill>
                <a:schemeClr val="dk1"/>
              </a:solidFill>
            </a:rPr>
            <a:t>You manage an </a:t>
          </a:r>
          <a:r>
            <a:rPr lang="en-US" b="1">
              <a:solidFill>
                <a:schemeClr val="dk1"/>
              </a:solidFill>
            </a:rPr>
            <a:t>online retail company </a:t>
          </a:r>
          <a:r>
            <a:rPr lang="en-US">
              <a:solidFill>
                <a:schemeClr val="dk1"/>
              </a:solidFill>
            </a:rPr>
            <a:t>that ships specialty products to countries in Europe, and you are preparing a workbook to </a:t>
          </a:r>
          <a:r>
            <a:rPr lang="en-US" b="1">
              <a:solidFill>
                <a:schemeClr val="dk1"/>
              </a:solidFill>
            </a:rPr>
            <a:t>track key business metrics</a:t>
          </a:r>
        </a:p>
      </xdr:txBody>
    </xdr:sp>
    <xdr:clientData/>
  </xdr:twoCellAnchor>
  <xdr:twoCellAnchor>
    <xdr:from>
      <xdr:col>1</xdr:col>
      <xdr:colOff>0</xdr:colOff>
      <xdr:row>10</xdr:row>
      <xdr:rowOff>107983</xdr:rowOff>
    </xdr:from>
    <xdr:to>
      <xdr:col>15</xdr:col>
      <xdr:colOff>191548</xdr:colOff>
      <xdr:row>25</xdr:row>
      <xdr:rowOff>174360</xdr:rowOff>
    </xdr:to>
    <xdr:sp macro="" textlink="">
      <xdr:nvSpPr>
        <xdr:cNvPr id="28" name="TextBox 21">
          <a:extLst>
            <a:ext uri="{FF2B5EF4-FFF2-40B4-BE49-F238E27FC236}">
              <a16:creationId xmlns:a16="http://schemas.microsoft.com/office/drawing/2014/main" id="{00000000-0008-0000-0000-00001C000000}"/>
            </a:ext>
          </a:extLst>
        </xdr:cNvPr>
        <xdr:cNvSpPr txBox="1"/>
      </xdr:nvSpPr>
      <xdr:spPr>
        <a:xfrm>
          <a:off x="190500" y="2012983"/>
          <a:ext cx="8725948" cy="29238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Orders</a:t>
          </a:r>
          <a:r>
            <a:rPr lang="en-US" sz="1600">
              <a:solidFill>
                <a:schemeClr val="dk1"/>
              </a:solidFill>
            </a:rPr>
            <a:t> worksheet, use a formula to fill the </a:t>
          </a:r>
          <a:r>
            <a:rPr lang="en-US" sz="1600" b="1">
              <a:solidFill>
                <a:schemeClr val="dk1"/>
              </a:solidFill>
            </a:rPr>
            <a:t>Product Name </a:t>
          </a:r>
          <a:r>
            <a:rPr lang="en-US" sz="1600">
              <a:solidFill>
                <a:schemeClr val="dk1"/>
              </a:solidFill>
            </a:rPr>
            <a:t>column using the information in the </a:t>
          </a:r>
          <a:r>
            <a:rPr lang="en-US" sz="1600" b="1">
              <a:solidFill>
                <a:schemeClr val="dk1"/>
              </a:solidFill>
            </a:rPr>
            <a:t>Products</a:t>
          </a:r>
          <a:r>
            <a:rPr lang="en-US" sz="1600">
              <a:solidFill>
                <a:schemeClr val="dk1"/>
              </a:solidFill>
            </a:rPr>
            <a:t> worksheet</a:t>
          </a:r>
        </a:p>
        <a:p>
          <a:pPr marL="342900" lvl="0" indent="-342900">
            <a:spcAft>
              <a:spcPts val="1200"/>
            </a:spcAft>
            <a:buFont typeface="+mj-lt"/>
            <a:buAutoNum type="arabicPeriod"/>
            <a:defRPr/>
          </a:pPr>
          <a:r>
            <a:rPr lang="en-US" sz="1600">
              <a:solidFill>
                <a:schemeClr val="dk1"/>
              </a:solidFill>
            </a:rPr>
            <a:t>In cell </a:t>
          </a:r>
          <a:r>
            <a:rPr lang="en-US" sz="1600" b="1">
              <a:solidFill>
                <a:schemeClr val="dk1"/>
              </a:solidFill>
            </a:rPr>
            <a:t>L2</a:t>
          </a:r>
          <a:r>
            <a:rPr lang="en-US" sz="1600">
              <a:solidFill>
                <a:schemeClr val="dk1"/>
              </a:solidFill>
            </a:rPr>
            <a:t> on the </a:t>
          </a:r>
          <a:r>
            <a:rPr lang="en-US" sz="1600" b="1">
              <a:solidFill>
                <a:schemeClr val="dk1"/>
              </a:solidFill>
            </a:rPr>
            <a:t>Orders</a:t>
          </a:r>
          <a:r>
            <a:rPr lang="en-US" sz="1600">
              <a:solidFill>
                <a:schemeClr val="dk1"/>
              </a:solidFill>
            </a:rPr>
            <a:t> worksheet, use a formula to calculate the number of orders from the </a:t>
          </a:r>
          <a:r>
            <a:rPr lang="en-US" sz="1600" b="1">
              <a:solidFill>
                <a:schemeClr val="dk1"/>
              </a:solidFill>
            </a:rPr>
            <a:t>Country</a:t>
          </a:r>
          <a:r>
            <a:rPr lang="en-US" sz="1600">
              <a:solidFill>
                <a:schemeClr val="dk1"/>
              </a:solidFill>
            </a:rPr>
            <a:t> selected in cell </a:t>
          </a:r>
          <a:r>
            <a:rPr lang="en-US" sz="1600" b="1">
              <a:solidFill>
                <a:schemeClr val="dk1"/>
              </a:solidFill>
            </a:rPr>
            <a:t>K2</a:t>
          </a:r>
          <a:r>
            <a:rPr lang="en-US" sz="1600">
              <a:solidFill>
                <a:schemeClr val="dk1"/>
              </a:solidFill>
            </a:rPr>
            <a:t> with a </a:t>
          </a:r>
          <a:r>
            <a:rPr lang="en-US" sz="1600" b="1">
              <a:solidFill>
                <a:schemeClr val="dk1"/>
              </a:solidFill>
            </a:rPr>
            <a:t>Revenue</a:t>
          </a:r>
          <a:r>
            <a:rPr lang="en-US" sz="1600">
              <a:solidFill>
                <a:schemeClr val="dk1"/>
              </a:solidFill>
            </a:rPr>
            <a:t> greater than or equal to $100</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Countries</a:t>
          </a:r>
          <a:r>
            <a:rPr lang="en-US" sz="1600">
              <a:solidFill>
                <a:schemeClr val="dk1"/>
              </a:solidFill>
            </a:rPr>
            <a:t> worksheet, insert a </a:t>
          </a:r>
          <a:r>
            <a:rPr lang="en-US" sz="1600" b="1">
              <a:solidFill>
                <a:schemeClr val="dk1"/>
              </a:solidFill>
            </a:rPr>
            <a:t>Filled Map</a:t>
          </a:r>
          <a:r>
            <a:rPr lang="en-US" sz="1600">
              <a:solidFill>
                <a:schemeClr val="dk1"/>
              </a:solidFill>
            </a:rPr>
            <a:t> using the information in cells </a:t>
          </a:r>
          <a:r>
            <a:rPr lang="en-US" sz="1600" b="1">
              <a:solidFill>
                <a:schemeClr val="dk1"/>
              </a:solidFill>
            </a:rPr>
            <a:t>A1:B15</a:t>
          </a:r>
          <a:endParaRPr lang="en-US" sz="1600">
            <a:solidFill>
              <a:schemeClr val="dk1"/>
            </a:solidFill>
          </a:endParaRPr>
        </a:p>
        <a:p>
          <a:pPr marL="342900" lvl="0" indent="-342900">
            <a:spcAft>
              <a:spcPts val="1200"/>
            </a:spcAft>
            <a:buFont typeface="+mj-lt"/>
            <a:buAutoNum type="arabicPeriod"/>
            <a:defRPr/>
          </a:pPr>
          <a:r>
            <a:rPr lang="en-US" sz="1600">
              <a:solidFill>
                <a:schemeClr val="dk1"/>
              </a:solidFill>
            </a:rPr>
            <a:t>In cell </a:t>
          </a:r>
          <a:r>
            <a:rPr lang="en-US" sz="1600" b="1">
              <a:solidFill>
                <a:schemeClr val="dk1"/>
              </a:solidFill>
            </a:rPr>
            <a:t>B5</a:t>
          </a:r>
          <a:r>
            <a:rPr lang="en-US" sz="1600">
              <a:solidFill>
                <a:schemeClr val="dk1"/>
              </a:solidFill>
            </a:rPr>
            <a:t> of the </a:t>
          </a:r>
          <a:r>
            <a:rPr lang="en-US" sz="1600" b="1">
              <a:solidFill>
                <a:schemeClr val="dk1"/>
              </a:solidFill>
            </a:rPr>
            <a:t>Warehouse</a:t>
          </a:r>
          <a:r>
            <a:rPr lang="en-US" sz="1600">
              <a:solidFill>
                <a:schemeClr val="dk1"/>
              </a:solidFill>
            </a:rPr>
            <a:t> </a:t>
          </a:r>
          <a:r>
            <a:rPr lang="en-US" sz="1600" b="1">
              <a:solidFill>
                <a:schemeClr val="dk1"/>
              </a:solidFill>
            </a:rPr>
            <a:t>Extension</a:t>
          </a:r>
          <a:r>
            <a:rPr lang="en-US" sz="1600">
              <a:solidFill>
                <a:schemeClr val="dk1"/>
              </a:solidFill>
            </a:rPr>
            <a:t> worksheet, use a formula that calculates the monthly payment amount, assuming the payment is due at the beginning of each month</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Summary Chart </a:t>
          </a:r>
          <a:r>
            <a:rPr lang="en-US" sz="1600">
              <a:solidFill>
                <a:schemeClr val="dk1"/>
              </a:solidFill>
            </a:rPr>
            <a:t>worksheet, add a </a:t>
          </a:r>
          <a:r>
            <a:rPr lang="en-US" sz="1600" b="1">
              <a:solidFill>
                <a:schemeClr val="dk1"/>
              </a:solidFill>
            </a:rPr>
            <a:t>Line Pivot Chart </a:t>
          </a:r>
          <a:r>
            <a:rPr lang="en-US" sz="1600">
              <a:solidFill>
                <a:schemeClr val="dk1"/>
              </a:solidFill>
            </a:rPr>
            <a:t>and change the Pivot Chart formatting to </a:t>
          </a:r>
          <a:r>
            <a:rPr lang="en-US" sz="1600" b="1">
              <a:solidFill>
                <a:schemeClr val="dk1"/>
              </a:solidFill>
            </a:rPr>
            <a:t>Style 5</a:t>
          </a:r>
          <a:r>
            <a:rPr lang="en-US" sz="1600">
              <a:solidFill>
                <a:schemeClr val="dk1"/>
              </a:solidFill>
            </a:rPr>
            <a:t> and </a:t>
          </a:r>
          <a:r>
            <a:rPr lang="en-US" sz="1600" b="1">
              <a:solidFill>
                <a:schemeClr val="dk1"/>
              </a:solidFill>
            </a:rPr>
            <a:t>Layout 4</a:t>
          </a:r>
          <a:endParaRPr kumimoji="0" lang="en-US" sz="1600" i="0" u="none" strike="noStrike" kern="1200" cap="none" spc="0" normalizeH="0" baseline="0">
            <a:ln>
              <a:noFill/>
            </a:ln>
            <a:solidFill>
              <a:prstClr val="black">
                <a:lumMod val="85000"/>
                <a:lumOff val="15000"/>
              </a:prstClr>
            </a:solidFill>
            <a:effectLst/>
            <a:uLnTx/>
            <a:uFillTx/>
          </a:endParaRP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29" name="Google Shape;7890;p302">
          <a:extLst>
            <a:ext uri="{FF2B5EF4-FFF2-40B4-BE49-F238E27FC236}">
              <a16:creationId xmlns:a16="http://schemas.microsoft.com/office/drawing/2014/main" id="{00000000-0008-0000-0000-00001D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30" name="Group 29">
          <a:extLst>
            <a:ext uri="{FF2B5EF4-FFF2-40B4-BE49-F238E27FC236}">
              <a16:creationId xmlns:a16="http://schemas.microsoft.com/office/drawing/2014/main" id="{00000000-0008-0000-0000-00001E000000}"/>
            </a:ext>
          </a:extLst>
        </xdr:cNvPr>
        <xdr:cNvGrpSpPr/>
      </xdr:nvGrpSpPr>
      <xdr:grpSpPr>
        <a:xfrm>
          <a:off x="266721" y="324460"/>
          <a:ext cx="2531584" cy="662266"/>
          <a:chOff x="2656994" y="1676486"/>
          <a:chExt cx="2531584" cy="692746"/>
        </a:xfrm>
      </xdr:grpSpPr>
      <xdr:grpSp>
        <xdr:nvGrpSpPr>
          <xdr:cNvPr id="33" name="Google Shape;7887;p302">
            <a:extLst>
              <a:ext uri="{FF2B5EF4-FFF2-40B4-BE49-F238E27FC236}">
                <a16:creationId xmlns:a16="http://schemas.microsoft.com/office/drawing/2014/main" id="{00000000-0008-0000-0000-000021000000}"/>
              </a:ext>
            </a:extLst>
          </xdr:cNvPr>
          <xdr:cNvGrpSpPr/>
        </xdr:nvGrpSpPr>
        <xdr:grpSpPr>
          <a:xfrm>
            <a:off x="3318753" y="1676486"/>
            <a:ext cx="1869825" cy="692746"/>
            <a:chOff x="1613474" y="1288575"/>
            <a:chExt cx="2016340" cy="692746"/>
          </a:xfrm>
        </xdr:grpSpPr>
        <xdr:sp macro="" textlink="">
          <xdr:nvSpPr>
            <xdr:cNvPr id="37" name="Google Shape;7888;p302">
              <a:extLst>
                <a:ext uri="{FF2B5EF4-FFF2-40B4-BE49-F238E27FC236}">
                  <a16:creationId xmlns:a16="http://schemas.microsoft.com/office/drawing/2014/main" id="{00000000-0008-0000-0000-000025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38" name="Google Shape;7889;p302">
              <a:extLst>
                <a:ext uri="{FF2B5EF4-FFF2-40B4-BE49-F238E27FC236}">
                  <a16:creationId xmlns:a16="http://schemas.microsoft.com/office/drawing/2014/main" id="{00000000-0008-0000-0000-000026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34" name="Group 33">
            <a:extLst>
              <a:ext uri="{FF2B5EF4-FFF2-40B4-BE49-F238E27FC236}">
                <a16:creationId xmlns:a16="http://schemas.microsoft.com/office/drawing/2014/main" id="{00000000-0008-0000-0000-000022000000}"/>
              </a:ext>
            </a:extLst>
          </xdr:cNvPr>
          <xdr:cNvGrpSpPr/>
        </xdr:nvGrpSpPr>
        <xdr:grpSpPr>
          <a:xfrm>
            <a:off x="2656994" y="1764113"/>
            <a:ext cx="662579" cy="563931"/>
            <a:chOff x="620960" y="4111492"/>
            <a:chExt cx="644465" cy="548514"/>
          </a:xfrm>
        </xdr:grpSpPr>
        <xdr:sp macro="" textlink="">
          <xdr:nvSpPr>
            <xdr:cNvPr id="35" name="Google Shape;235;p18">
              <a:extLst>
                <a:ext uri="{FF2B5EF4-FFF2-40B4-BE49-F238E27FC236}">
                  <a16:creationId xmlns:a16="http://schemas.microsoft.com/office/drawing/2014/main" id="{00000000-0008-0000-0000-000023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36" name="Google Shape;239;p18">
              <a:extLst>
                <a:ext uri="{FF2B5EF4-FFF2-40B4-BE49-F238E27FC236}">
                  <a16:creationId xmlns:a16="http://schemas.microsoft.com/office/drawing/2014/main" id="{00000000-0008-0000-0000-000024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31" name="TextBox 35">
          <a:extLst>
            <a:ext uri="{FF2B5EF4-FFF2-40B4-BE49-F238E27FC236}">
              <a16:creationId xmlns:a16="http://schemas.microsoft.com/office/drawing/2014/main" id="{00000000-0008-0000-0000-00001F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32" name="Google Shape;7890;p302">
          <a:extLst>
            <a:ext uri="{FF2B5EF4-FFF2-40B4-BE49-F238E27FC236}">
              <a16:creationId xmlns:a16="http://schemas.microsoft.com/office/drawing/2014/main" id="{00000000-0008-0000-0000-000020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601980</xdr:colOff>
      <xdr:row>1</xdr:row>
      <xdr:rowOff>163830</xdr:rowOff>
    </xdr:from>
    <xdr:to>
      <xdr:col>13</xdr:col>
      <xdr:colOff>556260</xdr:colOff>
      <xdr:row>21</xdr:row>
      <xdr:rowOff>91440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5BABA30C-C08B-DBDB-0C37-272C9DDF5A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994660" y="346710"/>
              <a:ext cx="6050280" cy="35852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68580</xdr:colOff>
      <xdr:row>6</xdr:row>
      <xdr:rowOff>41910</xdr:rowOff>
    </xdr:from>
    <xdr:to>
      <xdr:col>13</xdr:col>
      <xdr:colOff>22860</xdr:colOff>
      <xdr:row>22</xdr:row>
      <xdr:rowOff>129540</xdr:rowOff>
    </xdr:to>
    <xdr:graphicFrame macro="">
      <xdr:nvGraphicFramePr>
        <xdr:cNvPr id="2" name="Chart 1">
          <a:extLst>
            <a:ext uri="{FF2B5EF4-FFF2-40B4-BE49-F238E27FC236}">
              <a16:creationId xmlns:a16="http://schemas.microsoft.com/office/drawing/2014/main" id="{CA862818-53E2-B1EF-6511-6F55E9A9A8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374298</xdr:colOff>
      <xdr:row>1</xdr:row>
      <xdr:rowOff>0</xdr:rowOff>
    </xdr:from>
    <xdr:to>
      <xdr:col>15</xdr:col>
      <xdr:colOff>367812</xdr:colOff>
      <xdr:row>5</xdr:row>
      <xdr:rowOff>161330</xdr:rowOff>
    </xdr:to>
    <xdr:sp macro="" textlink="">
      <xdr:nvSpPr>
        <xdr:cNvPr id="15" name="TextBox 19">
          <a:extLst>
            <a:ext uri="{FF2B5EF4-FFF2-40B4-BE49-F238E27FC236}">
              <a16:creationId xmlns:a16="http://schemas.microsoft.com/office/drawing/2014/main" id="{00000000-0008-0000-0600-00000F000000}"/>
            </a:ext>
          </a:extLst>
        </xdr:cNvPr>
        <xdr:cNvSpPr txBox="1"/>
      </xdr:nvSpPr>
      <xdr:spPr>
        <a:xfrm>
          <a:off x="3003198" y="190500"/>
          <a:ext cx="6089514"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a:solidFill>
                <a:schemeClr val="dk1"/>
              </a:solidFill>
            </a:rPr>
            <a:t>You are the Sales Director of a </a:t>
          </a:r>
          <a:r>
            <a:rPr lang="en-US" b="1">
              <a:solidFill>
                <a:schemeClr val="dk1"/>
              </a:solidFill>
            </a:rPr>
            <a:t>beer manufacturing company </a:t>
          </a:r>
          <a:r>
            <a:rPr lang="en-US">
              <a:solidFill>
                <a:schemeClr val="dk1"/>
              </a:solidFill>
            </a:rPr>
            <a:t>that supplies the beer for all Major League Baseball stadiums, and you are preparing a workbook to </a:t>
          </a:r>
          <a:r>
            <a:rPr lang="en-US" b="1">
              <a:solidFill>
                <a:schemeClr val="dk1"/>
              </a:solidFill>
            </a:rPr>
            <a:t>help manage pricing</a:t>
          </a:r>
          <a:endParaRPr lang="en-US">
            <a:solidFill>
              <a:schemeClr val="dk1"/>
            </a:solidFill>
          </a:endParaRPr>
        </a:p>
      </xdr:txBody>
    </xdr:sp>
    <xdr:clientData/>
  </xdr:twoCellAnchor>
  <xdr:twoCellAnchor>
    <xdr:from>
      <xdr:col>1</xdr:col>
      <xdr:colOff>0</xdr:colOff>
      <xdr:row>10</xdr:row>
      <xdr:rowOff>107983</xdr:rowOff>
    </xdr:from>
    <xdr:to>
      <xdr:col>15</xdr:col>
      <xdr:colOff>191548</xdr:colOff>
      <xdr:row>25</xdr:row>
      <xdr:rowOff>20472</xdr:rowOff>
    </xdr:to>
    <xdr:sp macro="" textlink="">
      <xdr:nvSpPr>
        <xdr:cNvPr id="16" name="TextBox 21">
          <a:extLst>
            <a:ext uri="{FF2B5EF4-FFF2-40B4-BE49-F238E27FC236}">
              <a16:creationId xmlns:a16="http://schemas.microsoft.com/office/drawing/2014/main" id="{00000000-0008-0000-0600-000010000000}"/>
            </a:ext>
          </a:extLst>
        </xdr:cNvPr>
        <xdr:cNvSpPr txBox="1"/>
      </xdr:nvSpPr>
      <xdr:spPr>
        <a:xfrm>
          <a:off x="190500" y="2012983"/>
          <a:ext cx="8725948" cy="276998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Team Selector</a:t>
          </a:r>
          <a:r>
            <a:rPr lang="en-US" sz="1600">
              <a:solidFill>
                <a:schemeClr val="dk1"/>
              </a:solidFill>
            </a:rPr>
            <a:t> worksheet, add a data validation list to cell </a:t>
          </a:r>
          <a:r>
            <a:rPr lang="en-US" sz="1600" b="1">
              <a:solidFill>
                <a:schemeClr val="dk1"/>
              </a:solidFill>
            </a:rPr>
            <a:t>C6</a:t>
          </a:r>
          <a:r>
            <a:rPr lang="en-US" sz="1600">
              <a:solidFill>
                <a:schemeClr val="dk1"/>
              </a:solidFill>
            </a:rPr>
            <a:t> using range </a:t>
          </a:r>
          <a:r>
            <a:rPr lang="en-US" sz="1600" b="1">
              <a:solidFill>
                <a:schemeClr val="dk1"/>
              </a:solidFill>
            </a:rPr>
            <a:t>A2:A31 </a:t>
          </a:r>
          <a:r>
            <a:rPr lang="en-US" sz="1600">
              <a:solidFill>
                <a:schemeClr val="dk1"/>
              </a:solidFill>
            </a:rPr>
            <a:t>from the </a:t>
          </a:r>
          <a:r>
            <a:rPr lang="en-US" sz="1600" b="1">
              <a:solidFill>
                <a:schemeClr val="dk1"/>
              </a:solidFill>
            </a:rPr>
            <a:t>Beer Prices </a:t>
          </a:r>
          <a:r>
            <a:rPr lang="en-US" sz="1600">
              <a:solidFill>
                <a:schemeClr val="dk1"/>
              </a:solidFill>
            </a:rPr>
            <a:t>worksheet as the source; select the Philadelphia Phillies</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Beer Prices</a:t>
          </a:r>
          <a:r>
            <a:rPr lang="en-US" sz="1600">
              <a:solidFill>
                <a:schemeClr val="dk1"/>
              </a:solidFill>
            </a:rPr>
            <a:t> worksheet, group columns </a:t>
          </a:r>
          <a:r>
            <a:rPr lang="en-US" sz="1600" b="1">
              <a:solidFill>
                <a:schemeClr val="dk1"/>
              </a:solidFill>
            </a:rPr>
            <a:t>B:C</a:t>
          </a:r>
          <a:endParaRPr lang="en-US" sz="1600">
            <a:solidFill>
              <a:schemeClr val="dk1"/>
            </a:solidFill>
          </a:endParaRP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Price per Ounce</a:t>
          </a:r>
          <a:r>
            <a:rPr lang="en-US" sz="1600">
              <a:solidFill>
                <a:schemeClr val="dk1"/>
              </a:solidFill>
            </a:rPr>
            <a:t> worksheet, use conditional formatting to apply a Red - White - Green color scale to range </a:t>
          </a:r>
          <a:r>
            <a:rPr lang="en-US" sz="1600" b="1">
              <a:solidFill>
                <a:schemeClr val="dk1"/>
              </a:solidFill>
            </a:rPr>
            <a:t>B2:F31</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Price per Ounce </a:t>
          </a:r>
          <a:r>
            <a:rPr lang="en-US" sz="1600">
              <a:solidFill>
                <a:schemeClr val="dk1"/>
              </a:solidFill>
            </a:rPr>
            <a:t>worksheet, add a formula in cell </a:t>
          </a:r>
          <a:r>
            <a:rPr lang="en-US" sz="1600" b="1">
              <a:solidFill>
                <a:schemeClr val="dk1"/>
              </a:solidFill>
            </a:rPr>
            <a:t>G2</a:t>
          </a:r>
          <a:r>
            <a:rPr lang="en-US" sz="1600">
              <a:solidFill>
                <a:schemeClr val="dk1"/>
              </a:solidFill>
            </a:rPr>
            <a:t> that displays “None” if the Price per Ounce in 2018 was equal to the Price per Ounce in 2013, displays “Increase” if the Price per Ounce in 2018 is greater than the Price per Ounce in 2016 or greater than the average Price per Ounce from 2013-2016. Otherwise, display “Decrease”.</a:t>
          </a:r>
          <a:endParaRPr lang="en-US" sz="1600" b="1">
            <a:solidFill>
              <a:prstClr val="black">
                <a:lumMod val="85000"/>
                <a:lumOff val="15000"/>
              </a:prstClr>
            </a:solidFill>
          </a:endParaRP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17" name="Google Shape;7890;p302">
          <a:extLst>
            <a:ext uri="{FF2B5EF4-FFF2-40B4-BE49-F238E27FC236}">
              <a16:creationId xmlns:a16="http://schemas.microsoft.com/office/drawing/2014/main" id="{00000000-0008-0000-0600-000011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18" name="Group 17">
          <a:extLst>
            <a:ext uri="{FF2B5EF4-FFF2-40B4-BE49-F238E27FC236}">
              <a16:creationId xmlns:a16="http://schemas.microsoft.com/office/drawing/2014/main" id="{00000000-0008-0000-0600-000012000000}"/>
            </a:ext>
          </a:extLst>
        </xdr:cNvPr>
        <xdr:cNvGrpSpPr/>
      </xdr:nvGrpSpPr>
      <xdr:grpSpPr>
        <a:xfrm>
          <a:off x="266721" y="324460"/>
          <a:ext cx="2531584" cy="662266"/>
          <a:chOff x="2656994" y="1676486"/>
          <a:chExt cx="2531584" cy="692746"/>
        </a:xfrm>
      </xdr:grpSpPr>
      <xdr:grpSp>
        <xdr:nvGrpSpPr>
          <xdr:cNvPr id="21" name="Google Shape;7887;p302">
            <a:extLst>
              <a:ext uri="{FF2B5EF4-FFF2-40B4-BE49-F238E27FC236}">
                <a16:creationId xmlns:a16="http://schemas.microsoft.com/office/drawing/2014/main" id="{00000000-0008-0000-0600-000015000000}"/>
              </a:ext>
            </a:extLst>
          </xdr:cNvPr>
          <xdr:cNvGrpSpPr/>
        </xdr:nvGrpSpPr>
        <xdr:grpSpPr>
          <a:xfrm>
            <a:off x="3318753" y="1676486"/>
            <a:ext cx="1869825" cy="692746"/>
            <a:chOff x="1613474" y="1288575"/>
            <a:chExt cx="2016340" cy="692746"/>
          </a:xfrm>
        </xdr:grpSpPr>
        <xdr:sp macro="" textlink="">
          <xdr:nvSpPr>
            <xdr:cNvPr id="25" name="Google Shape;7888;p302">
              <a:extLst>
                <a:ext uri="{FF2B5EF4-FFF2-40B4-BE49-F238E27FC236}">
                  <a16:creationId xmlns:a16="http://schemas.microsoft.com/office/drawing/2014/main" id="{00000000-0008-0000-0600-000019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26" name="Google Shape;7889;p302">
              <a:extLst>
                <a:ext uri="{FF2B5EF4-FFF2-40B4-BE49-F238E27FC236}">
                  <a16:creationId xmlns:a16="http://schemas.microsoft.com/office/drawing/2014/main" id="{00000000-0008-0000-0600-00001A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22" name="Group 21">
            <a:extLst>
              <a:ext uri="{FF2B5EF4-FFF2-40B4-BE49-F238E27FC236}">
                <a16:creationId xmlns:a16="http://schemas.microsoft.com/office/drawing/2014/main" id="{00000000-0008-0000-0600-000016000000}"/>
              </a:ext>
            </a:extLst>
          </xdr:cNvPr>
          <xdr:cNvGrpSpPr/>
        </xdr:nvGrpSpPr>
        <xdr:grpSpPr>
          <a:xfrm>
            <a:off x="2656994" y="1764113"/>
            <a:ext cx="662579" cy="563931"/>
            <a:chOff x="620960" y="4111492"/>
            <a:chExt cx="644465" cy="548514"/>
          </a:xfrm>
        </xdr:grpSpPr>
        <xdr:sp macro="" textlink="">
          <xdr:nvSpPr>
            <xdr:cNvPr id="23" name="Google Shape;235;p18">
              <a:extLst>
                <a:ext uri="{FF2B5EF4-FFF2-40B4-BE49-F238E27FC236}">
                  <a16:creationId xmlns:a16="http://schemas.microsoft.com/office/drawing/2014/main" id="{00000000-0008-0000-0600-000017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24" name="Google Shape;239;p18">
              <a:extLst>
                <a:ext uri="{FF2B5EF4-FFF2-40B4-BE49-F238E27FC236}">
                  <a16:creationId xmlns:a16="http://schemas.microsoft.com/office/drawing/2014/main" id="{00000000-0008-0000-0600-000018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19" name="TextBox 35">
          <a:extLst>
            <a:ext uri="{FF2B5EF4-FFF2-40B4-BE49-F238E27FC236}">
              <a16:creationId xmlns:a16="http://schemas.microsoft.com/office/drawing/2014/main" id="{00000000-0008-0000-0600-000013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20" name="Google Shape;7890;p302">
          <a:extLst>
            <a:ext uri="{FF2B5EF4-FFF2-40B4-BE49-F238E27FC236}">
              <a16:creationId xmlns:a16="http://schemas.microsoft.com/office/drawing/2014/main" id="{00000000-0008-0000-0600-000014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110490</xdr:colOff>
      <xdr:row>1</xdr:row>
      <xdr:rowOff>1213</xdr:rowOff>
    </xdr:from>
    <xdr:to>
      <xdr:col>1</xdr:col>
      <xdr:colOff>528666</xdr:colOff>
      <xdr:row>3</xdr:row>
      <xdr:rowOff>192232</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490" y="198640"/>
          <a:ext cx="1027776" cy="5858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374297</xdr:colOff>
      <xdr:row>1</xdr:row>
      <xdr:rowOff>0</xdr:rowOff>
    </xdr:from>
    <xdr:to>
      <xdr:col>15</xdr:col>
      <xdr:colOff>367808</xdr:colOff>
      <xdr:row>5</xdr:row>
      <xdr:rowOff>161330</xdr:rowOff>
    </xdr:to>
    <xdr:sp macro="" textlink="">
      <xdr:nvSpPr>
        <xdr:cNvPr id="4" name="TextBox 19">
          <a:extLst>
            <a:ext uri="{FF2B5EF4-FFF2-40B4-BE49-F238E27FC236}">
              <a16:creationId xmlns:a16="http://schemas.microsoft.com/office/drawing/2014/main" id="{00000000-0008-0000-0A00-000004000000}"/>
            </a:ext>
          </a:extLst>
        </xdr:cNvPr>
        <xdr:cNvSpPr txBox="1"/>
      </xdr:nvSpPr>
      <xdr:spPr>
        <a:xfrm>
          <a:off x="3003197" y="190500"/>
          <a:ext cx="6089511"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a:solidFill>
                <a:schemeClr val="dk1"/>
              </a:solidFill>
            </a:rPr>
            <a:t>You work for an </a:t>
          </a:r>
          <a:r>
            <a:rPr lang="en-US" b="1">
              <a:solidFill>
                <a:schemeClr val="dk1"/>
              </a:solidFill>
            </a:rPr>
            <a:t>international non-profit organization</a:t>
          </a:r>
          <a:r>
            <a:rPr lang="en-US">
              <a:solidFill>
                <a:schemeClr val="dk1"/>
              </a:solidFill>
            </a:rPr>
            <a:t> and you are preparing an Excel workbook to </a:t>
          </a:r>
          <a:r>
            <a:rPr lang="en-US" b="1">
              <a:solidFill>
                <a:schemeClr val="dk1"/>
              </a:solidFill>
            </a:rPr>
            <a:t>analyze development indicators</a:t>
          </a:r>
          <a:r>
            <a:rPr lang="en-US">
              <a:solidFill>
                <a:schemeClr val="dk1"/>
              </a:solidFill>
            </a:rPr>
            <a:t> by country</a:t>
          </a:r>
        </a:p>
      </xdr:txBody>
    </xdr:sp>
    <xdr:clientData/>
  </xdr:twoCellAnchor>
  <xdr:twoCellAnchor>
    <xdr:from>
      <xdr:col>1</xdr:col>
      <xdr:colOff>0</xdr:colOff>
      <xdr:row>10</xdr:row>
      <xdr:rowOff>107983</xdr:rowOff>
    </xdr:from>
    <xdr:to>
      <xdr:col>15</xdr:col>
      <xdr:colOff>191548</xdr:colOff>
      <xdr:row>25</xdr:row>
      <xdr:rowOff>174360</xdr:rowOff>
    </xdr:to>
    <xdr:sp macro="" textlink="">
      <xdr:nvSpPr>
        <xdr:cNvPr id="5" name="TextBox 21">
          <a:extLst>
            <a:ext uri="{FF2B5EF4-FFF2-40B4-BE49-F238E27FC236}">
              <a16:creationId xmlns:a16="http://schemas.microsoft.com/office/drawing/2014/main" id="{00000000-0008-0000-0A00-000005000000}"/>
            </a:ext>
          </a:extLst>
        </xdr:cNvPr>
        <xdr:cNvSpPr txBox="1"/>
      </xdr:nvSpPr>
      <xdr:spPr>
        <a:xfrm>
          <a:off x="190500" y="2012983"/>
          <a:ext cx="8725948" cy="29238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Indicators </a:t>
          </a:r>
          <a:r>
            <a:rPr lang="en-US" sz="1600">
              <a:solidFill>
                <a:schemeClr val="dk1"/>
              </a:solidFill>
            </a:rPr>
            <a:t>worksheet, remove duplicates from the Indicators table by only considering the values in the </a:t>
          </a:r>
          <a:r>
            <a:rPr lang="en-US" sz="1600" b="1">
              <a:solidFill>
                <a:schemeClr val="dk1"/>
              </a:solidFill>
            </a:rPr>
            <a:t>Country</a:t>
          </a:r>
          <a:r>
            <a:rPr lang="en-US" sz="1600">
              <a:solidFill>
                <a:schemeClr val="dk1"/>
              </a:solidFill>
            </a:rPr>
            <a:t> column</a:t>
          </a:r>
        </a:p>
        <a:p>
          <a:pPr marL="342900" lvl="0" indent="-342900">
            <a:spcAft>
              <a:spcPts val="1200"/>
            </a:spcAft>
            <a:buFont typeface="+mj-lt"/>
            <a:buAutoNum type="arabicPeriod"/>
            <a:defRPr/>
          </a:pPr>
          <a:r>
            <a:rPr lang="en-US" sz="1600">
              <a:solidFill>
                <a:schemeClr val="dk1"/>
              </a:solidFill>
            </a:rPr>
            <a:t>Add </a:t>
          </a:r>
          <a:r>
            <a:rPr lang="en-US" sz="1600" b="1">
              <a:solidFill>
                <a:schemeClr val="dk1"/>
              </a:solidFill>
            </a:rPr>
            <a:t>Spanish (Mexico)</a:t>
          </a:r>
          <a:r>
            <a:rPr lang="en-US" sz="1600">
              <a:solidFill>
                <a:schemeClr val="dk1"/>
              </a:solidFill>
            </a:rPr>
            <a:t> as an authoring language and modify the Proofing options to allow </a:t>
          </a:r>
          <a:r>
            <a:rPr lang="en-US" sz="1600" b="1">
              <a:solidFill>
                <a:schemeClr val="dk1"/>
              </a:solidFill>
            </a:rPr>
            <a:t>Spanish Tuteo verb forms only</a:t>
          </a:r>
        </a:p>
        <a:p>
          <a:pPr marL="342900" lvl="0" indent="-342900">
            <a:spcAft>
              <a:spcPts val="1200"/>
            </a:spcAft>
            <a:buFont typeface="+mj-lt"/>
            <a:buAutoNum type="arabicPeriod"/>
            <a:defRPr/>
          </a:pPr>
          <a:r>
            <a:rPr lang="en-US" sz="1600">
              <a:solidFill>
                <a:schemeClr val="dk1"/>
              </a:solidFill>
            </a:rPr>
            <a:t>Disable all macros </a:t>
          </a:r>
          <a:r>
            <a:rPr lang="en-US" sz="1600" b="1">
              <a:solidFill>
                <a:schemeClr val="dk1"/>
              </a:solidFill>
            </a:rPr>
            <a:t>except</a:t>
          </a:r>
          <a:r>
            <a:rPr lang="en-US" sz="1600">
              <a:solidFill>
                <a:schemeClr val="dk1"/>
              </a:solidFill>
            </a:rPr>
            <a:t> </a:t>
          </a:r>
          <a:r>
            <a:rPr lang="en-US" sz="1600" b="1">
              <a:solidFill>
                <a:schemeClr val="dk1"/>
              </a:solidFill>
            </a:rPr>
            <a:t>digitally signed macros </a:t>
          </a:r>
          <a:r>
            <a:rPr lang="en-US" sz="1600">
              <a:solidFill>
                <a:schemeClr val="dk1"/>
              </a:solidFill>
            </a:rPr>
            <a:t>in this workbook</a:t>
          </a:r>
        </a:p>
        <a:p>
          <a:pPr marL="342900" lvl="0" indent="-342900">
            <a:spcAft>
              <a:spcPts val="1200"/>
            </a:spcAft>
            <a:buFont typeface="+mj-lt"/>
            <a:buAutoNum type="arabicPeriod"/>
            <a:defRPr/>
          </a:pPr>
          <a:r>
            <a:rPr lang="en-US" sz="1600">
              <a:solidFill>
                <a:schemeClr val="dk1"/>
              </a:solidFill>
            </a:rPr>
            <a:t>For the Pivot Table on the </a:t>
          </a:r>
          <a:r>
            <a:rPr lang="en-US" sz="1600" b="1">
              <a:solidFill>
                <a:schemeClr val="dk1"/>
              </a:solidFill>
            </a:rPr>
            <a:t>Region Summary </a:t>
          </a:r>
          <a:r>
            <a:rPr lang="en-US" sz="1600">
              <a:solidFill>
                <a:schemeClr val="dk1"/>
              </a:solidFill>
            </a:rPr>
            <a:t>worksheet, sort the Region descending by </a:t>
          </a:r>
          <a:r>
            <a:rPr lang="en-US" sz="1600" b="1">
              <a:solidFill>
                <a:schemeClr val="dk1"/>
              </a:solidFill>
            </a:rPr>
            <a:t>Sum of Population</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Region Summary </a:t>
          </a:r>
          <a:r>
            <a:rPr lang="en-US" sz="1600">
              <a:solidFill>
                <a:schemeClr val="dk1"/>
              </a:solidFill>
            </a:rPr>
            <a:t>worksheet, add a calculated field called “Population Density” to the Pivot Table that is equal to </a:t>
          </a:r>
          <a:r>
            <a:rPr lang="en-US" sz="1600" b="1">
              <a:solidFill>
                <a:schemeClr val="dk1"/>
              </a:solidFill>
            </a:rPr>
            <a:t>Population</a:t>
          </a:r>
          <a:r>
            <a:rPr lang="en-US" sz="1600">
              <a:solidFill>
                <a:schemeClr val="dk1"/>
              </a:solidFill>
            </a:rPr>
            <a:t> divided by </a:t>
          </a:r>
          <a:r>
            <a:rPr lang="en-US" sz="1600" b="1">
              <a:solidFill>
                <a:schemeClr val="dk1"/>
              </a:solidFill>
            </a:rPr>
            <a:t>Area</a:t>
          </a:r>
          <a:endParaRPr lang="en-US" sz="1600" b="1">
            <a:solidFill>
              <a:prstClr val="black">
                <a:lumMod val="85000"/>
                <a:lumOff val="15000"/>
              </a:prstClr>
            </a:solidFill>
          </a:endParaRP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6" name="Google Shape;7890;p302">
          <a:extLst>
            <a:ext uri="{FF2B5EF4-FFF2-40B4-BE49-F238E27FC236}">
              <a16:creationId xmlns:a16="http://schemas.microsoft.com/office/drawing/2014/main" id="{00000000-0008-0000-0A00-000006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7" name="Group 6">
          <a:extLst>
            <a:ext uri="{FF2B5EF4-FFF2-40B4-BE49-F238E27FC236}">
              <a16:creationId xmlns:a16="http://schemas.microsoft.com/office/drawing/2014/main" id="{00000000-0008-0000-0A00-000007000000}"/>
            </a:ext>
          </a:extLst>
        </xdr:cNvPr>
        <xdr:cNvGrpSpPr/>
      </xdr:nvGrpSpPr>
      <xdr:grpSpPr>
        <a:xfrm>
          <a:off x="266721" y="324460"/>
          <a:ext cx="2531584" cy="662266"/>
          <a:chOff x="2656994" y="1676486"/>
          <a:chExt cx="2531584" cy="692746"/>
        </a:xfrm>
      </xdr:grpSpPr>
      <xdr:grpSp>
        <xdr:nvGrpSpPr>
          <xdr:cNvPr id="10" name="Google Shape;7887;p302">
            <a:extLst>
              <a:ext uri="{FF2B5EF4-FFF2-40B4-BE49-F238E27FC236}">
                <a16:creationId xmlns:a16="http://schemas.microsoft.com/office/drawing/2014/main" id="{00000000-0008-0000-0A00-00000A000000}"/>
              </a:ext>
            </a:extLst>
          </xdr:cNvPr>
          <xdr:cNvGrpSpPr/>
        </xdr:nvGrpSpPr>
        <xdr:grpSpPr>
          <a:xfrm>
            <a:off x="3318753" y="1676486"/>
            <a:ext cx="1869825" cy="692746"/>
            <a:chOff x="1613474" y="1288575"/>
            <a:chExt cx="2016340" cy="692746"/>
          </a:xfrm>
        </xdr:grpSpPr>
        <xdr:sp macro="" textlink="">
          <xdr:nvSpPr>
            <xdr:cNvPr id="14" name="Google Shape;7888;p302">
              <a:extLst>
                <a:ext uri="{FF2B5EF4-FFF2-40B4-BE49-F238E27FC236}">
                  <a16:creationId xmlns:a16="http://schemas.microsoft.com/office/drawing/2014/main" id="{00000000-0008-0000-0A00-00000E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15" name="Google Shape;7889;p302">
              <a:extLst>
                <a:ext uri="{FF2B5EF4-FFF2-40B4-BE49-F238E27FC236}">
                  <a16:creationId xmlns:a16="http://schemas.microsoft.com/office/drawing/2014/main" id="{00000000-0008-0000-0A00-00000F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11" name="Group 10">
            <a:extLst>
              <a:ext uri="{FF2B5EF4-FFF2-40B4-BE49-F238E27FC236}">
                <a16:creationId xmlns:a16="http://schemas.microsoft.com/office/drawing/2014/main" id="{00000000-0008-0000-0A00-00000B000000}"/>
              </a:ext>
            </a:extLst>
          </xdr:cNvPr>
          <xdr:cNvGrpSpPr/>
        </xdr:nvGrpSpPr>
        <xdr:grpSpPr>
          <a:xfrm>
            <a:off x="2656994" y="1764113"/>
            <a:ext cx="662579" cy="563931"/>
            <a:chOff x="620960" y="4111492"/>
            <a:chExt cx="644465" cy="548514"/>
          </a:xfrm>
        </xdr:grpSpPr>
        <xdr:sp macro="" textlink="">
          <xdr:nvSpPr>
            <xdr:cNvPr id="12" name="Google Shape;235;p18">
              <a:extLst>
                <a:ext uri="{FF2B5EF4-FFF2-40B4-BE49-F238E27FC236}">
                  <a16:creationId xmlns:a16="http://schemas.microsoft.com/office/drawing/2014/main" id="{00000000-0008-0000-0A00-00000C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13" name="Google Shape;239;p18">
              <a:extLst>
                <a:ext uri="{FF2B5EF4-FFF2-40B4-BE49-F238E27FC236}">
                  <a16:creationId xmlns:a16="http://schemas.microsoft.com/office/drawing/2014/main" id="{00000000-0008-0000-0A00-00000D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8" name="TextBox 35">
          <a:extLst>
            <a:ext uri="{FF2B5EF4-FFF2-40B4-BE49-F238E27FC236}">
              <a16:creationId xmlns:a16="http://schemas.microsoft.com/office/drawing/2014/main" id="{00000000-0008-0000-0A00-000008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9" name="Google Shape;7890;p302">
          <a:extLst>
            <a:ext uri="{FF2B5EF4-FFF2-40B4-BE49-F238E27FC236}">
              <a16:creationId xmlns:a16="http://schemas.microsoft.com/office/drawing/2014/main" id="{00000000-0008-0000-0A00-000009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374299</xdr:colOff>
      <xdr:row>1</xdr:row>
      <xdr:rowOff>0</xdr:rowOff>
    </xdr:from>
    <xdr:to>
      <xdr:col>15</xdr:col>
      <xdr:colOff>29885</xdr:colOff>
      <xdr:row>5</xdr:row>
      <xdr:rowOff>161330</xdr:rowOff>
    </xdr:to>
    <xdr:sp macro="" textlink="">
      <xdr:nvSpPr>
        <xdr:cNvPr id="3" name="TextBox 19">
          <a:extLst>
            <a:ext uri="{FF2B5EF4-FFF2-40B4-BE49-F238E27FC236}">
              <a16:creationId xmlns:a16="http://schemas.microsoft.com/office/drawing/2014/main" id="{00000000-0008-0000-0D00-000003000000}"/>
            </a:ext>
          </a:extLst>
        </xdr:cNvPr>
        <xdr:cNvSpPr txBox="1"/>
      </xdr:nvSpPr>
      <xdr:spPr>
        <a:xfrm>
          <a:off x="3003199" y="190500"/>
          <a:ext cx="5751586"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a:solidFill>
                <a:schemeClr val="dk1"/>
              </a:solidFill>
            </a:rPr>
            <a:t>You are the Head of Purchasing at a </a:t>
          </a:r>
          <a:r>
            <a:rPr lang="en-US" b="1">
              <a:solidFill>
                <a:schemeClr val="dk1"/>
              </a:solidFill>
            </a:rPr>
            <a:t>regional winery</a:t>
          </a:r>
          <a:r>
            <a:rPr lang="en-US">
              <a:solidFill>
                <a:schemeClr val="dk1"/>
              </a:solidFill>
            </a:rPr>
            <a:t> and you are preparing an Excel workbook to </a:t>
          </a:r>
          <a:r>
            <a:rPr lang="en-US" b="1">
              <a:solidFill>
                <a:schemeClr val="dk1"/>
              </a:solidFill>
            </a:rPr>
            <a:t>track your current inventory and orders</a:t>
          </a:r>
          <a:endParaRPr lang="en-US">
            <a:solidFill>
              <a:schemeClr val="dk1"/>
            </a:solidFill>
          </a:endParaRPr>
        </a:p>
      </xdr:txBody>
    </xdr:sp>
    <xdr:clientData/>
  </xdr:twoCellAnchor>
  <xdr:twoCellAnchor>
    <xdr:from>
      <xdr:col>1</xdr:col>
      <xdr:colOff>0</xdr:colOff>
      <xdr:row>10</xdr:row>
      <xdr:rowOff>107983</xdr:rowOff>
    </xdr:from>
    <xdr:to>
      <xdr:col>15</xdr:col>
      <xdr:colOff>191548</xdr:colOff>
      <xdr:row>22</xdr:row>
      <xdr:rowOff>99530</xdr:rowOff>
    </xdr:to>
    <xdr:sp macro="" textlink="">
      <xdr:nvSpPr>
        <xdr:cNvPr id="4" name="TextBox 21">
          <a:extLst>
            <a:ext uri="{FF2B5EF4-FFF2-40B4-BE49-F238E27FC236}">
              <a16:creationId xmlns:a16="http://schemas.microsoft.com/office/drawing/2014/main" id="{00000000-0008-0000-0D00-000004000000}"/>
            </a:ext>
          </a:extLst>
        </xdr:cNvPr>
        <xdr:cNvSpPr txBox="1"/>
      </xdr:nvSpPr>
      <xdr:spPr>
        <a:xfrm>
          <a:off x="190500" y="2012983"/>
          <a:ext cx="8725948" cy="227754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In cell </a:t>
          </a:r>
          <a:r>
            <a:rPr lang="en-US" sz="1600" b="1">
              <a:solidFill>
                <a:schemeClr val="dk1"/>
              </a:solidFill>
            </a:rPr>
            <a:t>F2</a:t>
          </a:r>
          <a:r>
            <a:rPr lang="en-US" sz="1600">
              <a:solidFill>
                <a:schemeClr val="dk1"/>
              </a:solidFill>
            </a:rPr>
            <a:t> of the </a:t>
          </a:r>
          <a:r>
            <a:rPr lang="en-US" sz="1600" b="1">
              <a:solidFill>
                <a:schemeClr val="dk1"/>
              </a:solidFill>
            </a:rPr>
            <a:t>Inventory</a:t>
          </a:r>
          <a:r>
            <a:rPr lang="en-US" sz="1600">
              <a:solidFill>
                <a:schemeClr val="dk1"/>
              </a:solidFill>
            </a:rPr>
            <a:t> worksheet, write the year between parenthesis in the </a:t>
          </a:r>
          <a:r>
            <a:rPr lang="en-US" sz="1600" b="1">
              <a:solidFill>
                <a:schemeClr val="dk1"/>
              </a:solidFill>
            </a:rPr>
            <a:t>Name</a:t>
          </a:r>
          <a:r>
            <a:rPr lang="en-US" sz="1600">
              <a:solidFill>
                <a:schemeClr val="dk1"/>
              </a:solidFill>
            </a:rPr>
            <a:t> column and use Flash Fill to fill in the year for the rest of the wines in the inventory</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Inventory </a:t>
          </a:r>
          <a:r>
            <a:rPr lang="en-US" sz="1600">
              <a:solidFill>
                <a:schemeClr val="dk1"/>
              </a:solidFill>
            </a:rPr>
            <a:t>worksheet, create a formula based conditional formatting rule to range </a:t>
          </a:r>
          <a:r>
            <a:rPr lang="en-US" sz="1600" b="1">
              <a:solidFill>
                <a:schemeClr val="dk1"/>
              </a:solidFill>
            </a:rPr>
            <a:t>A2:I101</a:t>
          </a:r>
          <a:r>
            <a:rPr lang="en-US" sz="1600">
              <a:solidFill>
                <a:schemeClr val="dk1"/>
              </a:solidFill>
            </a:rPr>
            <a:t> that applies a bold font and light orange fill to rows where the </a:t>
          </a:r>
          <a:r>
            <a:rPr lang="en-US" sz="1600" b="1">
              <a:solidFill>
                <a:schemeClr val="dk1"/>
              </a:solidFill>
            </a:rPr>
            <a:t>Stock on Hand </a:t>
          </a:r>
          <a:r>
            <a:rPr lang="en-US" sz="1600">
              <a:solidFill>
                <a:schemeClr val="dk1"/>
              </a:solidFill>
            </a:rPr>
            <a:t>is less than or equal to the </a:t>
          </a:r>
          <a:r>
            <a:rPr lang="en-US" sz="1600" b="1">
              <a:solidFill>
                <a:schemeClr val="dk1"/>
              </a:solidFill>
            </a:rPr>
            <a:t>Reorder Quantity</a:t>
          </a:r>
          <a:endParaRPr lang="en-US" sz="1600">
            <a:solidFill>
              <a:schemeClr val="dk1"/>
            </a:solidFill>
          </a:endParaRP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Order Tracker </a:t>
          </a:r>
          <a:r>
            <a:rPr lang="en-US" sz="1600">
              <a:solidFill>
                <a:schemeClr val="dk1"/>
              </a:solidFill>
            </a:rPr>
            <a:t>worksheet, add a formula in cell </a:t>
          </a:r>
          <a:r>
            <a:rPr lang="en-US" sz="1600" b="1">
              <a:solidFill>
                <a:schemeClr val="dk1"/>
              </a:solidFill>
            </a:rPr>
            <a:t>B5 </a:t>
          </a:r>
          <a:r>
            <a:rPr lang="en-US" sz="1600">
              <a:solidFill>
                <a:schemeClr val="dk1"/>
              </a:solidFill>
            </a:rPr>
            <a:t>to calculate the arrival date for the order</a:t>
          </a:r>
          <a:endParaRPr lang="en-US" sz="1600" b="1">
            <a:solidFill>
              <a:schemeClr val="dk1"/>
            </a:solidFill>
          </a:endParaRPr>
        </a:p>
        <a:p>
          <a:pPr marL="342900" lvl="0" indent="-342900">
            <a:spcAft>
              <a:spcPts val="1200"/>
            </a:spcAft>
            <a:buFont typeface="+mj-lt"/>
            <a:buAutoNum type="arabicPeriod"/>
            <a:defRPr/>
          </a:pPr>
          <a:r>
            <a:rPr lang="en-US" sz="1600">
              <a:solidFill>
                <a:schemeClr val="dk1"/>
              </a:solidFill>
            </a:rPr>
            <a:t>Protect the workbook so users cannot add, edit, or delete worksheets using password </a:t>
          </a:r>
          <a:r>
            <a:rPr lang="en-US" sz="1600" b="1">
              <a:solidFill>
                <a:schemeClr val="dk1"/>
              </a:solidFill>
            </a:rPr>
            <a:t>12345</a:t>
          </a: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5" name="Google Shape;7890;p302">
          <a:extLst>
            <a:ext uri="{FF2B5EF4-FFF2-40B4-BE49-F238E27FC236}">
              <a16:creationId xmlns:a16="http://schemas.microsoft.com/office/drawing/2014/main" id="{00000000-0008-0000-0D00-000005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6" name="Group 5">
          <a:extLst>
            <a:ext uri="{FF2B5EF4-FFF2-40B4-BE49-F238E27FC236}">
              <a16:creationId xmlns:a16="http://schemas.microsoft.com/office/drawing/2014/main" id="{00000000-0008-0000-0D00-000006000000}"/>
            </a:ext>
          </a:extLst>
        </xdr:cNvPr>
        <xdr:cNvGrpSpPr/>
      </xdr:nvGrpSpPr>
      <xdr:grpSpPr>
        <a:xfrm>
          <a:off x="266721" y="324460"/>
          <a:ext cx="2531584" cy="662266"/>
          <a:chOff x="2656994" y="1676486"/>
          <a:chExt cx="2531584" cy="692746"/>
        </a:xfrm>
      </xdr:grpSpPr>
      <xdr:grpSp>
        <xdr:nvGrpSpPr>
          <xdr:cNvPr id="9" name="Google Shape;7887;p302">
            <a:extLst>
              <a:ext uri="{FF2B5EF4-FFF2-40B4-BE49-F238E27FC236}">
                <a16:creationId xmlns:a16="http://schemas.microsoft.com/office/drawing/2014/main" id="{00000000-0008-0000-0D00-000009000000}"/>
              </a:ext>
            </a:extLst>
          </xdr:cNvPr>
          <xdr:cNvGrpSpPr/>
        </xdr:nvGrpSpPr>
        <xdr:grpSpPr>
          <a:xfrm>
            <a:off x="3318753" y="1676486"/>
            <a:ext cx="1869825" cy="692746"/>
            <a:chOff x="1613474" y="1288575"/>
            <a:chExt cx="2016340" cy="692746"/>
          </a:xfrm>
        </xdr:grpSpPr>
        <xdr:sp macro="" textlink="">
          <xdr:nvSpPr>
            <xdr:cNvPr id="13" name="Google Shape;7888;p302">
              <a:extLst>
                <a:ext uri="{FF2B5EF4-FFF2-40B4-BE49-F238E27FC236}">
                  <a16:creationId xmlns:a16="http://schemas.microsoft.com/office/drawing/2014/main" id="{00000000-0008-0000-0D00-00000D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14" name="Google Shape;7889;p302">
              <a:extLst>
                <a:ext uri="{FF2B5EF4-FFF2-40B4-BE49-F238E27FC236}">
                  <a16:creationId xmlns:a16="http://schemas.microsoft.com/office/drawing/2014/main" id="{00000000-0008-0000-0D00-00000E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10" name="Group 9">
            <a:extLst>
              <a:ext uri="{FF2B5EF4-FFF2-40B4-BE49-F238E27FC236}">
                <a16:creationId xmlns:a16="http://schemas.microsoft.com/office/drawing/2014/main" id="{00000000-0008-0000-0D00-00000A000000}"/>
              </a:ext>
            </a:extLst>
          </xdr:cNvPr>
          <xdr:cNvGrpSpPr/>
        </xdr:nvGrpSpPr>
        <xdr:grpSpPr>
          <a:xfrm>
            <a:off x="2656994" y="1764113"/>
            <a:ext cx="662579" cy="563931"/>
            <a:chOff x="620960" y="4111492"/>
            <a:chExt cx="644465" cy="548514"/>
          </a:xfrm>
        </xdr:grpSpPr>
        <xdr:sp macro="" textlink="">
          <xdr:nvSpPr>
            <xdr:cNvPr id="11" name="Google Shape;235;p18">
              <a:extLst>
                <a:ext uri="{FF2B5EF4-FFF2-40B4-BE49-F238E27FC236}">
                  <a16:creationId xmlns:a16="http://schemas.microsoft.com/office/drawing/2014/main" id="{00000000-0008-0000-0D00-00000B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12" name="Google Shape;239;p18">
              <a:extLst>
                <a:ext uri="{FF2B5EF4-FFF2-40B4-BE49-F238E27FC236}">
                  <a16:creationId xmlns:a16="http://schemas.microsoft.com/office/drawing/2014/main" id="{00000000-0008-0000-0D00-00000C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7" name="TextBox 35">
          <a:extLst>
            <a:ext uri="{FF2B5EF4-FFF2-40B4-BE49-F238E27FC236}">
              <a16:creationId xmlns:a16="http://schemas.microsoft.com/office/drawing/2014/main" id="{00000000-0008-0000-0D00-000007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8" name="Google Shape;7890;p302">
          <a:extLst>
            <a:ext uri="{FF2B5EF4-FFF2-40B4-BE49-F238E27FC236}">
              <a16:creationId xmlns:a16="http://schemas.microsoft.com/office/drawing/2014/main" id="{00000000-0008-0000-0D00-000008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374298</xdr:colOff>
      <xdr:row>1</xdr:row>
      <xdr:rowOff>0</xdr:rowOff>
    </xdr:from>
    <xdr:to>
      <xdr:col>15</xdr:col>
      <xdr:colOff>367812</xdr:colOff>
      <xdr:row>5</xdr:row>
      <xdr:rowOff>161330</xdr:rowOff>
    </xdr:to>
    <xdr:sp macro="" textlink="">
      <xdr:nvSpPr>
        <xdr:cNvPr id="3" name="TextBox 19">
          <a:extLst>
            <a:ext uri="{FF2B5EF4-FFF2-40B4-BE49-F238E27FC236}">
              <a16:creationId xmlns:a16="http://schemas.microsoft.com/office/drawing/2014/main" id="{00000000-0008-0000-1000-000003000000}"/>
            </a:ext>
          </a:extLst>
        </xdr:cNvPr>
        <xdr:cNvSpPr txBox="1"/>
      </xdr:nvSpPr>
      <xdr:spPr>
        <a:xfrm>
          <a:off x="3003198" y="190500"/>
          <a:ext cx="6089514"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Aft>
              <a:spcPts val="1800"/>
            </a:spcAft>
            <a:defRPr/>
          </a:pPr>
          <a:r>
            <a:rPr lang="en-US">
              <a:solidFill>
                <a:schemeClr val="dk1"/>
              </a:solidFill>
            </a:rPr>
            <a:t>You’ve been hired as an analyst by a </a:t>
          </a:r>
          <a:r>
            <a:rPr lang="en-US" b="1">
              <a:solidFill>
                <a:schemeClr val="dk1"/>
              </a:solidFill>
            </a:rPr>
            <a:t>coffee roasting company</a:t>
          </a:r>
          <a:r>
            <a:rPr lang="en-US">
              <a:solidFill>
                <a:schemeClr val="dk1"/>
              </a:solidFill>
            </a:rPr>
            <a:t> and you are preparing a workbook to </a:t>
          </a:r>
          <a:r>
            <a:rPr lang="en-US" b="1">
              <a:solidFill>
                <a:schemeClr val="dk1"/>
              </a:solidFill>
            </a:rPr>
            <a:t>compare sales across stores and product categories</a:t>
          </a:r>
          <a:endParaRPr lang="en-US">
            <a:solidFill>
              <a:schemeClr val="dk1"/>
            </a:solidFill>
          </a:endParaRPr>
        </a:p>
      </xdr:txBody>
    </xdr:sp>
    <xdr:clientData/>
  </xdr:twoCellAnchor>
  <xdr:twoCellAnchor>
    <xdr:from>
      <xdr:col>1</xdr:col>
      <xdr:colOff>0</xdr:colOff>
      <xdr:row>10</xdr:row>
      <xdr:rowOff>107983</xdr:rowOff>
    </xdr:from>
    <xdr:to>
      <xdr:col>15</xdr:col>
      <xdr:colOff>191548</xdr:colOff>
      <xdr:row>25</xdr:row>
      <xdr:rowOff>20472</xdr:rowOff>
    </xdr:to>
    <xdr:sp macro="" textlink="">
      <xdr:nvSpPr>
        <xdr:cNvPr id="4" name="TextBox 21">
          <a:extLst>
            <a:ext uri="{FF2B5EF4-FFF2-40B4-BE49-F238E27FC236}">
              <a16:creationId xmlns:a16="http://schemas.microsoft.com/office/drawing/2014/main" id="{00000000-0008-0000-1000-000004000000}"/>
            </a:ext>
          </a:extLst>
        </xdr:cNvPr>
        <xdr:cNvSpPr txBox="1"/>
      </xdr:nvSpPr>
      <xdr:spPr>
        <a:xfrm>
          <a:off x="190500" y="2012983"/>
          <a:ext cx="8725948" cy="276998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Product Sales</a:t>
          </a:r>
          <a:r>
            <a:rPr lang="en-US" sz="1600">
              <a:solidFill>
                <a:schemeClr val="dk1"/>
              </a:solidFill>
            </a:rPr>
            <a:t> worksheet, insert a Subtotal that calculates the Sum on the </a:t>
          </a:r>
          <a:r>
            <a:rPr lang="en-US" sz="1600" b="1">
              <a:solidFill>
                <a:schemeClr val="dk1"/>
              </a:solidFill>
            </a:rPr>
            <a:t>Units Sold </a:t>
          </a:r>
          <a:r>
            <a:rPr lang="en-US" sz="1600">
              <a:solidFill>
                <a:schemeClr val="dk1"/>
              </a:solidFill>
            </a:rPr>
            <a:t>and </a:t>
          </a:r>
          <a:r>
            <a:rPr lang="en-US" sz="1600" b="1">
              <a:solidFill>
                <a:schemeClr val="dk1"/>
              </a:solidFill>
            </a:rPr>
            <a:t>Sales</a:t>
          </a:r>
          <a:r>
            <a:rPr lang="en-US" sz="1600">
              <a:solidFill>
                <a:schemeClr val="dk1"/>
              </a:solidFill>
            </a:rPr>
            <a:t> columns for each </a:t>
          </a:r>
          <a:r>
            <a:rPr lang="en-US" sz="1600" b="1">
              <a:solidFill>
                <a:schemeClr val="dk1"/>
              </a:solidFill>
            </a:rPr>
            <a:t>Product Group</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Sales by Store </a:t>
          </a:r>
          <a:r>
            <a:rPr lang="en-US" sz="1600">
              <a:solidFill>
                <a:schemeClr val="dk1"/>
              </a:solidFill>
            </a:rPr>
            <a:t>worksheet, consolidate the quarterly sales figures for all 3 stores in the </a:t>
          </a:r>
          <a:r>
            <a:rPr lang="en-US" sz="1600" b="1">
              <a:solidFill>
                <a:schemeClr val="dk1"/>
              </a:solidFill>
            </a:rPr>
            <a:t>NYC Totals </a:t>
          </a:r>
          <a:r>
            <a:rPr lang="en-US" sz="1600">
              <a:solidFill>
                <a:schemeClr val="dk1"/>
              </a:solidFill>
            </a:rPr>
            <a:t>table using a Sum</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New Product </a:t>
          </a:r>
          <a:r>
            <a:rPr lang="en-US" sz="1600">
              <a:solidFill>
                <a:schemeClr val="dk1"/>
              </a:solidFill>
            </a:rPr>
            <a:t>worksheet, add a custom number format for cell </a:t>
          </a:r>
          <a:r>
            <a:rPr lang="en-US" sz="1600" b="1">
              <a:solidFill>
                <a:schemeClr val="dk1"/>
              </a:solidFill>
            </a:rPr>
            <a:t>B8</a:t>
          </a:r>
          <a:r>
            <a:rPr lang="en-US" sz="1600">
              <a:solidFill>
                <a:schemeClr val="dk1"/>
              </a:solidFill>
            </a:rPr>
            <a:t> so that positive values have a dollar sign ($), a thousand separator and no decimal points; for negative values use the same format but wrap the number in parenthesis and give it a red font</a:t>
          </a:r>
          <a:endParaRPr lang="en-US" sz="1600" b="1">
            <a:solidFill>
              <a:schemeClr val="dk1"/>
            </a:solidFill>
          </a:endParaRPr>
        </a:p>
        <a:p>
          <a:pPr marL="342900" lvl="0" indent="-342900">
            <a:spcAft>
              <a:spcPts val="1200"/>
            </a:spcAft>
            <a:buFont typeface="+mj-lt"/>
            <a:buAutoNum type="arabicPeriod"/>
            <a:defRPr/>
          </a:pPr>
          <a:r>
            <a:rPr lang="en-US" sz="1600">
              <a:solidFill>
                <a:schemeClr val="dk1"/>
              </a:solidFill>
            </a:rPr>
            <a:t>Use an Excel forecasting tool in cell </a:t>
          </a:r>
          <a:r>
            <a:rPr lang="en-US" sz="1600" b="1">
              <a:solidFill>
                <a:schemeClr val="dk1"/>
              </a:solidFill>
            </a:rPr>
            <a:t>B6</a:t>
          </a:r>
          <a:r>
            <a:rPr lang="en-US" sz="1600">
              <a:solidFill>
                <a:schemeClr val="dk1"/>
              </a:solidFill>
            </a:rPr>
            <a:t> on the </a:t>
          </a:r>
          <a:r>
            <a:rPr lang="en-US" sz="1600" b="1">
              <a:solidFill>
                <a:schemeClr val="dk1"/>
              </a:solidFill>
            </a:rPr>
            <a:t>New Product</a:t>
          </a:r>
          <a:r>
            <a:rPr lang="en-US" sz="1600">
              <a:solidFill>
                <a:schemeClr val="dk1"/>
              </a:solidFill>
            </a:rPr>
            <a:t> worksheet to calculate the </a:t>
          </a:r>
          <a:r>
            <a:rPr lang="en-US" sz="1600" b="1">
              <a:solidFill>
                <a:schemeClr val="dk1"/>
              </a:solidFill>
            </a:rPr>
            <a:t>Units Sold </a:t>
          </a:r>
          <a:r>
            <a:rPr lang="en-US" sz="1600">
              <a:solidFill>
                <a:schemeClr val="dk1"/>
              </a:solidFill>
            </a:rPr>
            <a:t>that will result in a </a:t>
          </a:r>
          <a:r>
            <a:rPr lang="en-US" sz="1600" b="1">
              <a:solidFill>
                <a:schemeClr val="dk1"/>
              </a:solidFill>
            </a:rPr>
            <a:t>Profit</a:t>
          </a:r>
          <a:r>
            <a:rPr lang="en-US" sz="1600">
              <a:solidFill>
                <a:schemeClr val="dk1"/>
              </a:solidFill>
            </a:rPr>
            <a:t> of </a:t>
          </a:r>
          <a:r>
            <a:rPr lang="en-US" sz="1600" b="1">
              <a:solidFill>
                <a:schemeClr val="dk1"/>
              </a:solidFill>
            </a:rPr>
            <a:t>$3,000</a:t>
          </a: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5" name="Google Shape;7890;p302">
          <a:extLst>
            <a:ext uri="{FF2B5EF4-FFF2-40B4-BE49-F238E27FC236}">
              <a16:creationId xmlns:a16="http://schemas.microsoft.com/office/drawing/2014/main" id="{00000000-0008-0000-1000-000005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6" name="Group 5">
          <a:extLst>
            <a:ext uri="{FF2B5EF4-FFF2-40B4-BE49-F238E27FC236}">
              <a16:creationId xmlns:a16="http://schemas.microsoft.com/office/drawing/2014/main" id="{00000000-0008-0000-1000-000006000000}"/>
            </a:ext>
          </a:extLst>
        </xdr:cNvPr>
        <xdr:cNvGrpSpPr/>
      </xdr:nvGrpSpPr>
      <xdr:grpSpPr>
        <a:xfrm>
          <a:off x="266721" y="324460"/>
          <a:ext cx="2531584" cy="662266"/>
          <a:chOff x="2656994" y="1676486"/>
          <a:chExt cx="2531584" cy="692746"/>
        </a:xfrm>
      </xdr:grpSpPr>
      <xdr:grpSp>
        <xdr:nvGrpSpPr>
          <xdr:cNvPr id="9" name="Google Shape;7887;p302">
            <a:extLst>
              <a:ext uri="{FF2B5EF4-FFF2-40B4-BE49-F238E27FC236}">
                <a16:creationId xmlns:a16="http://schemas.microsoft.com/office/drawing/2014/main" id="{00000000-0008-0000-1000-000009000000}"/>
              </a:ext>
            </a:extLst>
          </xdr:cNvPr>
          <xdr:cNvGrpSpPr/>
        </xdr:nvGrpSpPr>
        <xdr:grpSpPr>
          <a:xfrm>
            <a:off x="3318753" y="1676486"/>
            <a:ext cx="1869825" cy="692746"/>
            <a:chOff x="1613474" y="1288575"/>
            <a:chExt cx="2016340" cy="692746"/>
          </a:xfrm>
        </xdr:grpSpPr>
        <xdr:sp macro="" textlink="">
          <xdr:nvSpPr>
            <xdr:cNvPr id="13" name="Google Shape;7888;p302">
              <a:extLst>
                <a:ext uri="{FF2B5EF4-FFF2-40B4-BE49-F238E27FC236}">
                  <a16:creationId xmlns:a16="http://schemas.microsoft.com/office/drawing/2014/main" id="{00000000-0008-0000-1000-00000D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14" name="Google Shape;7889;p302">
              <a:extLst>
                <a:ext uri="{FF2B5EF4-FFF2-40B4-BE49-F238E27FC236}">
                  <a16:creationId xmlns:a16="http://schemas.microsoft.com/office/drawing/2014/main" id="{00000000-0008-0000-1000-00000E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10" name="Group 9">
            <a:extLst>
              <a:ext uri="{FF2B5EF4-FFF2-40B4-BE49-F238E27FC236}">
                <a16:creationId xmlns:a16="http://schemas.microsoft.com/office/drawing/2014/main" id="{00000000-0008-0000-1000-00000A000000}"/>
              </a:ext>
            </a:extLst>
          </xdr:cNvPr>
          <xdr:cNvGrpSpPr/>
        </xdr:nvGrpSpPr>
        <xdr:grpSpPr>
          <a:xfrm>
            <a:off x="2656994" y="1764113"/>
            <a:ext cx="662579" cy="563931"/>
            <a:chOff x="620960" y="4111492"/>
            <a:chExt cx="644465" cy="548514"/>
          </a:xfrm>
        </xdr:grpSpPr>
        <xdr:sp macro="" textlink="">
          <xdr:nvSpPr>
            <xdr:cNvPr id="11" name="Google Shape;235;p18">
              <a:extLst>
                <a:ext uri="{FF2B5EF4-FFF2-40B4-BE49-F238E27FC236}">
                  <a16:creationId xmlns:a16="http://schemas.microsoft.com/office/drawing/2014/main" id="{00000000-0008-0000-1000-00000B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12" name="Google Shape;239;p18">
              <a:extLst>
                <a:ext uri="{FF2B5EF4-FFF2-40B4-BE49-F238E27FC236}">
                  <a16:creationId xmlns:a16="http://schemas.microsoft.com/office/drawing/2014/main" id="{00000000-0008-0000-1000-00000C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7" name="TextBox 35">
          <a:extLst>
            <a:ext uri="{FF2B5EF4-FFF2-40B4-BE49-F238E27FC236}">
              <a16:creationId xmlns:a16="http://schemas.microsoft.com/office/drawing/2014/main" id="{00000000-0008-0000-1000-000007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8" name="Google Shape;7890;p302">
          <a:extLst>
            <a:ext uri="{FF2B5EF4-FFF2-40B4-BE49-F238E27FC236}">
              <a16:creationId xmlns:a16="http://schemas.microsoft.com/office/drawing/2014/main" id="{00000000-0008-0000-1000-000008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374298</xdr:colOff>
      <xdr:row>1</xdr:row>
      <xdr:rowOff>0</xdr:rowOff>
    </xdr:from>
    <xdr:to>
      <xdr:col>15</xdr:col>
      <xdr:colOff>367812</xdr:colOff>
      <xdr:row>5</xdr:row>
      <xdr:rowOff>161330</xdr:rowOff>
    </xdr:to>
    <xdr:sp macro="" textlink="">
      <xdr:nvSpPr>
        <xdr:cNvPr id="3" name="TextBox 19">
          <a:extLst>
            <a:ext uri="{FF2B5EF4-FFF2-40B4-BE49-F238E27FC236}">
              <a16:creationId xmlns:a16="http://schemas.microsoft.com/office/drawing/2014/main" id="{00000000-0008-0000-1400-000003000000}"/>
            </a:ext>
          </a:extLst>
        </xdr:cNvPr>
        <xdr:cNvSpPr txBox="1"/>
      </xdr:nvSpPr>
      <xdr:spPr>
        <a:xfrm>
          <a:off x="3003198" y="190500"/>
          <a:ext cx="6089514"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Aft>
              <a:spcPts val="1800"/>
            </a:spcAft>
            <a:defRPr/>
          </a:pPr>
          <a:r>
            <a:rPr lang="en-US">
              <a:solidFill>
                <a:schemeClr val="dk1"/>
              </a:solidFill>
            </a:rPr>
            <a:t>You’ve been contracted to </a:t>
          </a:r>
          <a:r>
            <a:rPr lang="en-US" b="1">
              <a:solidFill>
                <a:schemeClr val="dk1"/>
              </a:solidFill>
            </a:rPr>
            <a:t>track traffic accidents in New York City, </a:t>
          </a:r>
          <a:r>
            <a:rPr lang="en-US">
              <a:solidFill>
                <a:schemeClr val="dk1"/>
              </a:solidFill>
            </a:rPr>
            <a:t>and you are preparing a workbook to </a:t>
          </a:r>
          <a:r>
            <a:rPr lang="en-US" b="1">
              <a:solidFill>
                <a:schemeClr val="dk1"/>
              </a:solidFill>
            </a:rPr>
            <a:t>analyze monthly trends and contributing factors</a:t>
          </a:r>
          <a:endParaRPr lang="en-US">
            <a:solidFill>
              <a:schemeClr val="dk1"/>
            </a:solidFill>
          </a:endParaRPr>
        </a:p>
      </xdr:txBody>
    </xdr:sp>
    <xdr:clientData/>
  </xdr:twoCellAnchor>
  <xdr:twoCellAnchor>
    <xdr:from>
      <xdr:col>1</xdr:col>
      <xdr:colOff>0</xdr:colOff>
      <xdr:row>10</xdr:row>
      <xdr:rowOff>107983</xdr:rowOff>
    </xdr:from>
    <xdr:to>
      <xdr:col>15</xdr:col>
      <xdr:colOff>49760</xdr:colOff>
      <xdr:row>21</xdr:row>
      <xdr:rowOff>136141</xdr:rowOff>
    </xdr:to>
    <xdr:sp macro="" textlink="">
      <xdr:nvSpPr>
        <xdr:cNvPr id="4" name="TextBox 21">
          <a:extLst>
            <a:ext uri="{FF2B5EF4-FFF2-40B4-BE49-F238E27FC236}">
              <a16:creationId xmlns:a16="http://schemas.microsoft.com/office/drawing/2014/main" id="{00000000-0008-0000-1400-000004000000}"/>
            </a:ext>
          </a:extLst>
        </xdr:cNvPr>
        <xdr:cNvSpPr txBox="1"/>
      </xdr:nvSpPr>
      <xdr:spPr>
        <a:xfrm>
          <a:off x="190500" y="2012983"/>
          <a:ext cx="8584160" cy="212365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Van Collisions</a:t>
          </a:r>
          <a:r>
            <a:rPr lang="en-US" sz="1600">
              <a:solidFill>
                <a:schemeClr val="dk1"/>
              </a:solidFill>
            </a:rPr>
            <a:t> worksheet, record a macro named “TableHeader” with Ctrl+Shift+T as the Shortcut key that selects range </a:t>
          </a:r>
          <a:r>
            <a:rPr lang="en-US" sz="1600" b="1">
              <a:solidFill>
                <a:schemeClr val="dk1"/>
              </a:solidFill>
            </a:rPr>
            <a:t>A1:F1</a:t>
          </a:r>
          <a:r>
            <a:rPr lang="en-US" sz="1600">
              <a:solidFill>
                <a:schemeClr val="dk1"/>
              </a:solidFill>
            </a:rPr>
            <a:t>, makes the </a:t>
          </a:r>
          <a:r>
            <a:rPr lang="en-US" sz="1600" b="1">
              <a:solidFill>
                <a:schemeClr val="dk1"/>
              </a:solidFill>
            </a:rPr>
            <a:t>font bold</a:t>
          </a:r>
          <a:r>
            <a:rPr lang="en-US" sz="1600">
              <a:solidFill>
                <a:schemeClr val="dk1"/>
              </a:solidFill>
            </a:rPr>
            <a:t> and </a:t>
          </a:r>
          <a:r>
            <a:rPr lang="en-US" sz="1600" b="1">
              <a:solidFill>
                <a:schemeClr val="dk1"/>
              </a:solidFill>
            </a:rPr>
            <a:t>size 14pt</a:t>
          </a:r>
          <a:r>
            <a:rPr lang="en-US" sz="1600">
              <a:solidFill>
                <a:schemeClr val="dk1"/>
              </a:solidFill>
            </a:rPr>
            <a:t>, and </a:t>
          </a:r>
          <a:r>
            <a:rPr lang="en-US" sz="1600" b="1">
              <a:solidFill>
                <a:schemeClr val="dk1"/>
              </a:solidFill>
            </a:rPr>
            <a:t>merges &amp; centers </a:t>
          </a:r>
          <a:r>
            <a:rPr lang="en-US" sz="1600">
              <a:solidFill>
                <a:schemeClr val="dk1"/>
              </a:solidFill>
            </a:rPr>
            <a:t>the selection; run the macro using the Shortcut on the </a:t>
          </a:r>
          <a:r>
            <a:rPr lang="en-US" sz="1600" b="1">
              <a:solidFill>
                <a:schemeClr val="dk1"/>
              </a:solidFill>
            </a:rPr>
            <a:t>Taxi Collisions</a:t>
          </a:r>
          <a:r>
            <a:rPr lang="en-US" sz="1600">
              <a:solidFill>
                <a:schemeClr val="dk1"/>
              </a:solidFill>
            </a:rPr>
            <a:t> worksheet</a:t>
          </a:r>
          <a:endParaRPr lang="en-US" sz="1600" b="1">
            <a:solidFill>
              <a:schemeClr val="dk1"/>
            </a:solidFill>
          </a:endParaRP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Monthly Trend </a:t>
          </a:r>
          <a:r>
            <a:rPr lang="en-US" sz="1600">
              <a:solidFill>
                <a:schemeClr val="dk1"/>
              </a:solidFill>
            </a:rPr>
            <a:t>worksheet, add a chart that shows the </a:t>
          </a:r>
          <a:r>
            <a:rPr lang="en-US" sz="1600" b="1">
              <a:solidFill>
                <a:schemeClr val="dk1"/>
              </a:solidFill>
            </a:rPr>
            <a:t>Collisions,</a:t>
          </a:r>
          <a:r>
            <a:rPr lang="en-US" sz="1600">
              <a:solidFill>
                <a:schemeClr val="dk1"/>
              </a:solidFill>
            </a:rPr>
            <a:t> as a clustered column chart, and the </a:t>
          </a:r>
          <a:r>
            <a:rPr lang="en-US" sz="1600" b="1">
              <a:solidFill>
                <a:schemeClr val="dk1"/>
              </a:solidFill>
            </a:rPr>
            <a:t>Injury %</a:t>
          </a:r>
          <a:r>
            <a:rPr lang="en-US" sz="1600">
              <a:solidFill>
                <a:schemeClr val="dk1"/>
              </a:solidFill>
            </a:rPr>
            <a:t>,</a:t>
          </a:r>
          <a:r>
            <a:rPr lang="en-US" sz="1600" b="1">
              <a:solidFill>
                <a:schemeClr val="dk1"/>
              </a:solidFill>
            </a:rPr>
            <a:t> </a:t>
          </a:r>
          <a:r>
            <a:rPr lang="en-US" sz="1600">
              <a:solidFill>
                <a:schemeClr val="dk1"/>
              </a:solidFill>
            </a:rPr>
            <a:t>as a line chart on a secondary axis, by </a:t>
          </a:r>
          <a:r>
            <a:rPr lang="en-US" sz="1600" b="1">
              <a:solidFill>
                <a:schemeClr val="dk1"/>
              </a:solidFill>
            </a:rPr>
            <a:t>Month</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Collision Causes </a:t>
          </a:r>
          <a:r>
            <a:rPr lang="en-US" sz="1600">
              <a:solidFill>
                <a:schemeClr val="dk1"/>
              </a:solidFill>
            </a:rPr>
            <a:t>worksheet, show values as </a:t>
          </a:r>
          <a:r>
            <a:rPr lang="en-US" sz="1600" b="1">
              <a:solidFill>
                <a:schemeClr val="dk1"/>
              </a:solidFill>
            </a:rPr>
            <a:t>% of Column Total </a:t>
          </a:r>
          <a:r>
            <a:rPr lang="en-US" sz="1600">
              <a:solidFill>
                <a:schemeClr val="dk1"/>
              </a:solidFill>
            </a:rPr>
            <a:t>for the </a:t>
          </a:r>
          <a:r>
            <a:rPr lang="en-US" sz="1600" b="1">
              <a:solidFill>
                <a:schemeClr val="dk1"/>
              </a:solidFill>
            </a:rPr>
            <a:t>Sum of # of Persons Injured</a:t>
          </a: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5" name="Google Shape;7890;p302">
          <a:extLst>
            <a:ext uri="{FF2B5EF4-FFF2-40B4-BE49-F238E27FC236}">
              <a16:creationId xmlns:a16="http://schemas.microsoft.com/office/drawing/2014/main" id="{00000000-0008-0000-1400-000005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6" name="Group 5">
          <a:extLst>
            <a:ext uri="{FF2B5EF4-FFF2-40B4-BE49-F238E27FC236}">
              <a16:creationId xmlns:a16="http://schemas.microsoft.com/office/drawing/2014/main" id="{00000000-0008-0000-1400-000006000000}"/>
            </a:ext>
          </a:extLst>
        </xdr:cNvPr>
        <xdr:cNvGrpSpPr/>
      </xdr:nvGrpSpPr>
      <xdr:grpSpPr>
        <a:xfrm>
          <a:off x="266721" y="324460"/>
          <a:ext cx="2531584" cy="662266"/>
          <a:chOff x="2656994" y="1676486"/>
          <a:chExt cx="2531584" cy="692746"/>
        </a:xfrm>
      </xdr:grpSpPr>
      <xdr:grpSp>
        <xdr:nvGrpSpPr>
          <xdr:cNvPr id="9" name="Google Shape;7887;p302">
            <a:extLst>
              <a:ext uri="{FF2B5EF4-FFF2-40B4-BE49-F238E27FC236}">
                <a16:creationId xmlns:a16="http://schemas.microsoft.com/office/drawing/2014/main" id="{00000000-0008-0000-1400-000009000000}"/>
              </a:ext>
            </a:extLst>
          </xdr:cNvPr>
          <xdr:cNvGrpSpPr/>
        </xdr:nvGrpSpPr>
        <xdr:grpSpPr>
          <a:xfrm>
            <a:off x="3318753" y="1676486"/>
            <a:ext cx="1869825" cy="692746"/>
            <a:chOff x="1613474" y="1288575"/>
            <a:chExt cx="2016340" cy="692746"/>
          </a:xfrm>
        </xdr:grpSpPr>
        <xdr:sp macro="" textlink="">
          <xdr:nvSpPr>
            <xdr:cNvPr id="13" name="Google Shape;7888;p302">
              <a:extLst>
                <a:ext uri="{FF2B5EF4-FFF2-40B4-BE49-F238E27FC236}">
                  <a16:creationId xmlns:a16="http://schemas.microsoft.com/office/drawing/2014/main" id="{00000000-0008-0000-1400-00000D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14" name="Google Shape;7889;p302">
              <a:extLst>
                <a:ext uri="{FF2B5EF4-FFF2-40B4-BE49-F238E27FC236}">
                  <a16:creationId xmlns:a16="http://schemas.microsoft.com/office/drawing/2014/main" id="{00000000-0008-0000-1400-00000E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10" name="Group 9">
            <a:extLst>
              <a:ext uri="{FF2B5EF4-FFF2-40B4-BE49-F238E27FC236}">
                <a16:creationId xmlns:a16="http://schemas.microsoft.com/office/drawing/2014/main" id="{00000000-0008-0000-1400-00000A000000}"/>
              </a:ext>
            </a:extLst>
          </xdr:cNvPr>
          <xdr:cNvGrpSpPr/>
        </xdr:nvGrpSpPr>
        <xdr:grpSpPr>
          <a:xfrm>
            <a:off x="2656994" y="1764113"/>
            <a:ext cx="662579" cy="563931"/>
            <a:chOff x="620960" y="4111492"/>
            <a:chExt cx="644465" cy="548514"/>
          </a:xfrm>
        </xdr:grpSpPr>
        <xdr:sp macro="" textlink="">
          <xdr:nvSpPr>
            <xdr:cNvPr id="11" name="Google Shape;235;p18">
              <a:extLst>
                <a:ext uri="{FF2B5EF4-FFF2-40B4-BE49-F238E27FC236}">
                  <a16:creationId xmlns:a16="http://schemas.microsoft.com/office/drawing/2014/main" id="{00000000-0008-0000-1400-00000B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12" name="Google Shape;239;p18">
              <a:extLst>
                <a:ext uri="{FF2B5EF4-FFF2-40B4-BE49-F238E27FC236}">
                  <a16:creationId xmlns:a16="http://schemas.microsoft.com/office/drawing/2014/main" id="{00000000-0008-0000-1400-00000C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7" name="TextBox 35">
          <a:extLst>
            <a:ext uri="{FF2B5EF4-FFF2-40B4-BE49-F238E27FC236}">
              <a16:creationId xmlns:a16="http://schemas.microsoft.com/office/drawing/2014/main" id="{00000000-0008-0000-1400-000007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8" name="Google Shape;7890;p302">
          <a:extLst>
            <a:ext uri="{FF2B5EF4-FFF2-40B4-BE49-F238E27FC236}">
              <a16:creationId xmlns:a16="http://schemas.microsoft.com/office/drawing/2014/main" id="{00000000-0008-0000-1400-000008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274320</xdr:colOff>
      <xdr:row>1</xdr:row>
      <xdr:rowOff>125730</xdr:rowOff>
    </xdr:from>
    <xdr:to>
      <xdr:col>13</xdr:col>
      <xdr:colOff>91440</xdr:colOff>
      <xdr:row>19</xdr:row>
      <xdr:rowOff>53340</xdr:rowOff>
    </xdr:to>
    <xdr:graphicFrame macro="">
      <xdr:nvGraphicFramePr>
        <xdr:cNvPr id="5" name="Chart 4">
          <a:extLst>
            <a:ext uri="{FF2B5EF4-FFF2-40B4-BE49-F238E27FC236}">
              <a16:creationId xmlns:a16="http://schemas.microsoft.com/office/drawing/2014/main" id="{712D080A-9F97-311A-8B26-119C4FFE6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rique Ruiz" refreshedDate="44111.413478009257" createdVersion="6" refreshedVersion="6" minRefreshableVersion="3" recordCount="200" xr:uid="{00000000-000A-0000-FFFF-FFFF06000000}">
  <cacheSource type="worksheet">
    <worksheetSource ref="A1:I201" sheet="Orders"/>
  </cacheSource>
  <cacheFields count="10">
    <cacheField name="Invoice" numFmtId="0">
      <sharedItems containsSemiMixedTypes="0" containsString="0" containsNumber="1" containsInteger="1" minValue="540546" maxValue="581476"/>
    </cacheField>
    <cacheField name="Order Date" numFmtId="166">
      <sharedItems containsSemiMixedTypes="0" containsNonDate="0" containsDate="1" containsString="0" minDate="2019-01-09T00:00:00" maxDate="2019-12-10T00:00:00" count="132">
        <d v="2019-01-09T00:00:00"/>
        <d v="2019-01-13T00:00:00"/>
        <d v="2019-01-14T00:00:00"/>
        <d v="2019-01-17T00:00:00"/>
        <d v="2019-01-18T00:00:00"/>
        <d v="2019-01-20T00:00:00"/>
        <d v="2019-01-21T00:00:00"/>
        <d v="2019-01-25T00:00:00"/>
        <d v="2019-01-27T00:00:00"/>
        <d v="2019-01-28T00:00:00"/>
        <d v="2019-01-30T00:00:00"/>
        <d v="2019-01-31T00:00:00"/>
        <d v="2019-02-01T00:00:00"/>
        <d v="2019-02-11T00:00:00"/>
        <d v="2019-02-14T00:00:00"/>
        <d v="2019-02-18T00:00:00"/>
        <d v="2019-02-21T00:00:00"/>
        <d v="2019-02-22T00:00:00"/>
        <d v="2019-02-23T00:00:00"/>
        <d v="2019-03-04T00:00:00"/>
        <d v="2019-03-08T00:00:00"/>
        <d v="2019-03-17T00:00:00"/>
        <d v="2019-03-18T00:00:00"/>
        <d v="2019-03-21T00:00:00"/>
        <d v="2019-03-23T00:00:00"/>
        <d v="2019-03-24T00:00:00"/>
        <d v="2019-03-28T00:00:00"/>
        <d v="2019-04-03T00:00:00"/>
        <d v="2019-04-04T00:00:00"/>
        <d v="2019-04-14T00:00:00"/>
        <d v="2019-04-20T00:00:00"/>
        <d v="2019-04-21T00:00:00"/>
        <d v="2019-05-09T00:00:00"/>
        <d v="2019-05-12T00:00:00"/>
        <d v="2019-05-13T00:00:00"/>
        <d v="2019-05-16T00:00:00"/>
        <d v="2019-05-17T00:00:00"/>
        <d v="2019-05-19T00:00:00"/>
        <d v="2019-05-24T00:00:00"/>
        <d v="2019-05-31T00:00:00"/>
        <d v="2019-06-01T00:00:00"/>
        <d v="2019-06-02T00:00:00"/>
        <d v="2019-06-05T00:00:00"/>
        <d v="2019-06-06T00:00:00"/>
        <d v="2019-06-09T00:00:00"/>
        <d v="2019-06-16T00:00:00"/>
        <d v="2019-06-20T00:00:00"/>
        <d v="2019-06-21T00:00:00"/>
        <d v="2019-06-22T00:00:00"/>
        <d v="2019-06-23T00:00:00"/>
        <d v="2019-06-28T00:00:00"/>
        <d v="2019-06-30T00:00:00"/>
        <d v="2019-07-05T00:00:00"/>
        <d v="2019-07-08T00:00:00"/>
        <d v="2019-07-10T00:00:00"/>
        <d v="2019-07-11T00:00:00"/>
        <d v="2019-07-13T00:00:00"/>
        <d v="2019-07-15T00:00:00"/>
        <d v="2019-07-19T00:00:00"/>
        <d v="2019-07-20T00:00:00"/>
        <d v="2019-07-21T00:00:00"/>
        <d v="2019-07-24T00:00:00"/>
        <d v="2019-07-25T00:00:00"/>
        <d v="2019-07-31T00:00:00"/>
        <d v="2019-08-08T00:00:00"/>
        <d v="2019-08-09T00:00:00"/>
        <d v="2019-08-19T00:00:00"/>
        <d v="2019-08-22T00:00:00"/>
        <d v="2019-08-23T00:00:00"/>
        <d v="2019-08-24T00:00:00"/>
        <d v="2019-08-25T00:00:00"/>
        <d v="2019-08-28T00:00:00"/>
        <d v="2019-08-31T00:00:00"/>
        <d v="2019-09-02T00:00:00"/>
        <d v="2019-09-04T00:00:00"/>
        <d v="2019-09-05T00:00:00"/>
        <d v="2019-09-06T00:00:00"/>
        <d v="2019-09-07T00:00:00"/>
        <d v="2019-09-08T00:00:00"/>
        <d v="2019-09-09T00:00:00"/>
        <d v="2019-09-13T00:00:00"/>
        <d v="2019-09-14T00:00:00"/>
        <d v="2019-09-18T00:00:00"/>
        <d v="2019-09-19T00:00:00"/>
        <d v="2019-09-21T00:00:00"/>
        <d v="2019-09-22T00:00:00"/>
        <d v="2019-09-23T00:00:00"/>
        <d v="2019-09-25T00:00:00"/>
        <d v="2019-09-28T00:00:00"/>
        <d v="2019-09-29T00:00:00"/>
        <d v="2019-10-03T00:00:00"/>
        <d v="2019-10-04T00:00:00"/>
        <d v="2019-10-05T00:00:00"/>
        <d v="2019-10-06T00:00:00"/>
        <d v="2019-10-10T00:00:00"/>
        <d v="2019-10-11T00:00:00"/>
        <d v="2019-10-12T00:00:00"/>
        <d v="2019-10-13T00:00:00"/>
        <d v="2019-10-14T00:00:00"/>
        <d v="2019-10-16T00:00:00"/>
        <d v="2019-10-17T00:00:00"/>
        <d v="2019-10-18T00:00:00"/>
        <d v="2019-10-19T00:00:00"/>
        <d v="2019-10-20T00:00:00"/>
        <d v="2019-10-24T00:00:00"/>
        <d v="2019-10-26T00:00:00"/>
        <d v="2019-10-30T00:00:00"/>
        <d v="2019-10-31T00:00:00"/>
        <d v="2019-11-01T00:00:00"/>
        <d v="2019-11-03T00:00:00"/>
        <d v="2019-11-04T00:00:00"/>
        <d v="2019-11-06T00:00:00"/>
        <d v="2019-11-08T00:00:00"/>
        <d v="2019-11-09T00:00:00"/>
        <d v="2019-11-10T00:00:00"/>
        <d v="2019-11-11T00:00:00"/>
        <d v="2019-11-14T00:00:00"/>
        <d v="2019-11-16T00:00:00"/>
        <d v="2019-11-17T00:00:00"/>
        <d v="2019-11-18T00:00:00"/>
        <d v="2019-11-20T00:00:00"/>
        <d v="2019-11-22T00:00:00"/>
        <d v="2019-11-23T00:00:00"/>
        <d v="2019-11-25T00:00:00"/>
        <d v="2019-11-27T00:00:00"/>
        <d v="2019-11-28T00:00:00"/>
        <d v="2019-11-29T00:00:00"/>
        <d v="2019-11-30T00:00:00"/>
        <d v="2019-12-02T00:00:00"/>
        <d v="2019-12-06T00:00:00"/>
        <d v="2019-12-08T00:00:00"/>
        <d v="2019-12-09T00:00:00"/>
      </sharedItems>
      <fieldGroup par="9" base="1">
        <rangePr groupBy="days" startDate="2019-01-09T00:00:00" endDate="2019-12-10T00:00:00"/>
        <groupItems count="368">
          <s v="&lt;1/9/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0/2019"/>
        </groupItems>
      </fieldGroup>
    </cacheField>
    <cacheField name="Country" numFmtId="0">
      <sharedItems/>
    </cacheField>
    <cacheField name="Client ID" numFmtId="0">
      <sharedItems containsSemiMixedTypes="0" containsString="0" containsNumber="1" containsInteger="1" minValue="12357" maxValue="18252"/>
    </cacheField>
    <cacheField name="Product ID" numFmtId="0">
      <sharedItems containsSemiMixedTypes="0" containsString="0" containsNumber="1" containsInteger="1" minValue="20713" maxValue="62018"/>
    </cacheField>
    <cacheField name="Product Name" numFmtId="0">
      <sharedItems containsNonDate="0" containsString="0" containsBlank="1"/>
    </cacheField>
    <cacheField name="Quantity" numFmtId="0">
      <sharedItems containsSemiMixedTypes="0" containsString="0" containsNumber="1" containsInteger="1" minValue="1" maxValue="400"/>
    </cacheField>
    <cacheField name="Unit Price" numFmtId="167">
      <sharedItems containsSemiMixedTypes="0" containsString="0" containsNumber="1" minValue="0.72" maxValue="4.95"/>
    </cacheField>
    <cacheField name="Revenue" numFmtId="167">
      <sharedItems containsSemiMixedTypes="0" containsString="0" containsNumber="1" minValue="1.65" maxValue="500"/>
    </cacheField>
    <cacheField name="Months" numFmtId="0" databaseField="0">
      <fieldGroup base="1">
        <rangePr groupBy="months" startDate="2019-01-09T00:00:00" endDate="2019-12-10T00:00:00"/>
        <groupItems count="14">
          <s v="&lt;1/9/2019"/>
          <s v="Jan"/>
          <s v="Feb"/>
          <s v="Mar"/>
          <s v="Apr"/>
          <s v="May"/>
          <s v="Jun"/>
          <s v="Jul"/>
          <s v="Aug"/>
          <s v="Sep"/>
          <s v="Oct"/>
          <s v="Nov"/>
          <s v="Dec"/>
          <s v="&gt;12/10/2019"/>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rique Ruiz" refreshedDate="44151.556533101852" createdVersion="6" refreshedVersion="6" minRefreshableVersion="3" recordCount="181" xr:uid="{6003A164-A64E-4AC6-B3E4-D5BCA080BC64}">
  <cacheSource type="worksheet">
    <worksheetSource name="Indicators"/>
  </cacheSource>
  <cacheFields count="5">
    <cacheField name="Country" numFmtId="0">
      <sharedItems/>
    </cacheField>
    <cacheField name="Region" numFmtId="0">
      <sharedItems count="7">
        <s v="South Asia"/>
        <s v="Europe &amp; Central Asia"/>
        <s v="Middle East &amp; North Africa"/>
        <s v="Sub-Saharan Africa"/>
        <s v="Latin America &amp; Caribbean"/>
        <s v="East Asia &amp; Pacific"/>
        <s v="North America"/>
      </sharedItems>
    </cacheField>
    <cacheField name="Population" numFmtId="3">
      <sharedItems containsSemiMixedTypes="0" containsString="0" containsNumber="1" containsInteger="1" minValue="11646" maxValue="1397715000"/>
    </cacheField>
    <cacheField name="Area" numFmtId="3">
      <sharedItems containsSemiMixedTypes="0" containsString="0" containsNumber="1" minValue="26" maxValue="17098240"/>
    </cacheField>
    <cacheField name="Population Density" numFmtId="0" formula="Population/Area"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rique Ruiz" refreshedDate="44152.371141203701" createdVersion="6" refreshedVersion="6" minRefreshableVersion="3" recordCount="149" xr:uid="{83BF80C3-325C-4021-A43C-DDDAC9E80F49}">
  <cacheSource type="worksheet">
    <worksheetSource ref="A2:F151" sheet="Taxi Collisions"/>
  </cacheSource>
  <cacheFields count="6">
    <cacheField name="Date" numFmtId="166">
      <sharedItems containsSemiMixedTypes="0" containsNonDate="0" containsDate="1" containsString="0" minDate="2020-01-01T00:00:00" maxDate="2020-07-12T00:00:00"/>
    </cacheField>
    <cacheField name="Time" numFmtId="21">
      <sharedItems containsSemiMixedTypes="0" containsNonDate="0" containsDate="1" containsString="0" minDate="1899-12-30T00:00:00" maxDate="1899-12-30T23:56:00"/>
    </cacheField>
    <cacheField name="District" numFmtId="0">
      <sharedItems/>
    </cacheField>
    <cacheField name="Collision Cause" numFmtId="0">
      <sharedItems count="18">
        <s v="Driver Inattention/Distraction"/>
        <s v="Traffic Control Disregarded"/>
        <s v="Passing Too Closely"/>
        <s v="Other Vehicular"/>
        <s v="Passing or Lane Usage Improper"/>
        <s v="Unsafe Lane Changing"/>
        <s v="Driver Inexperience"/>
        <s v="Unsafe Speed"/>
        <s v="Failure to Yield Right-of-Way"/>
        <s v="Turning Improperly"/>
        <s v="Pedestrian/Bicyclist/Other Pedestrian Error/Confusion"/>
        <s v="Following Too Closely"/>
        <s v="Passenger Distraction"/>
        <s v="Reaction to Uninvolved Vehicle"/>
        <s v="Outside Car Distraction"/>
        <s v="Backing Unsafely"/>
        <s v="Alcohol Involvement"/>
        <s v="View Obstructed/Limited"/>
      </sharedItems>
    </cacheField>
    <cacheField name="Vehicle" numFmtId="0">
      <sharedItems/>
    </cacheField>
    <cacheField name="# of Persons Injured" numFmtId="0">
      <sharedItems containsSemiMixedTypes="0" containsString="0" containsNumber="1" containsInteger="1" minValue="0"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0">
  <r>
    <n v="540546"/>
    <x v="0"/>
    <s v="Portugal"/>
    <n v="12766"/>
    <n v="22740"/>
    <m/>
    <n v="48"/>
    <n v="0.85"/>
    <n v="40.799999999999997"/>
  </r>
  <r>
    <n v="541115"/>
    <x v="1"/>
    <s v="Italy"/>
    <n v="12578"/>
    <n v="21260"/>
    <m/>
    <n v="6"/>
    <n v="3.25"/>
    <n v="19.5"/>
  </r>
  <r>
    <n v="541115"/>
    <x v="1"/>
    <s v="Italy"/>
    <n v="12578"/>
    <n v="22190"/>
    <m/>
    <n v="12"/>
    <n v="2.1"/>
    <n v="25.200000000000003"/>
  </r>
  <r>
    <n v="541224"/>
    <x v="2"/>
    <s v="Germany"/>
    <n v="12474"/>
    <n v="21025"/>
    <m/>
    <n v="10"/>
    <n v="1.25"/>
    <n v="12.5"/>
  </r>
  <r>
    <n v="541269"/>
    <x v="3"/>
    <s v="Germany"/>
    <n v="12626"/>
    <n v="22174"/>
    <m/>
    <n v="12"/>
    <n v="1.65"/>
    <n v="19.799999999999997"/>
  </r>
  <r>
    <n v="541509"/>
    <x v="4"/>
    <s v="United Kingdom"/>
    <n v="13263"/>
    <n v="22694"/>
    <m/>
    <n v="1"/>
    <n v="2.1"/>
    <n v="2.1"/>
  </r>
  <r>
    <n v="541631"/>
    <x v="5"/>
    <s v="France"/>
    <n v="12637"/>
    <n v="22174"/>
    <m/>
    <n v="12"/>
    <n v="1.65"/>
    <n v="19.799999999999997"/>
  </r>
  <r>
    <n v="541711"/>
    <x v="6"/>
    <s v="Netherlands"/>
    <n v="14646"/>
    <n v="22653"/>
    <m/>
    <n v="10"/>
    <n v="1.95"/>
    <n v="19.5"/>
  </r>
  <r>
    <n v="542080"/>
    <x v="7"/>
    <s v="Germany"/>
    <n v="13815"/>
    <n v="20713"/>
    <m/>
    <n v="10"/>
    <n v="1.95"/>
    <n v="19.5"/>
  </r>
  <r>
    <n v="542080"/>
    <x v="7"/>
    <s v="Germany"/>
    <n v="13815"/>
    <n v="22740"/>
    <m/>
    <n v="48"/>
    <n v="0.85"/>
    <n v="40.799999999999997"/>
  </r>
  <r>
    <n v="542080"/>
    <x v="7"/>
    <s v="Germany"/>
    <n v="13815"/>
    <n v="22741"/>
    <m/>
    <n v="48"/>
    <n v="0.85"/>
    <n v="40.799999999999997"/>
  </r>
  <r>
    <n v="542371"/>
    <x v="8"/>
    <s v="Germany"/>
    <n v="12468"/>
    <n v="62018"/>
    <m/>
    <n v="6"/>
    <n v="1.95"/>
    <n v="11.7"/>
  </r>
  <r>
    <n v="542428"/>
    <x v="9"/>
    <s v="Sweden"/>
    <n v="17404"/>
    <n v="21260"/>
    <m/>
    <n v="48"/>
    <n v="3.25"/>
    <n v="156"/>
  </r>
  <r>
    <n v="542535"/>
    <x v="9"/>
    <s v="France"/>
    <n v="12735"/>
    <n v="21888"/>
    <m/>
    <n v="4"/>
    <n v="3.75"/>
    <n v="15"/>
  </r>
  <r>
    <n v="542612"/>
    <x v="10"/>
    <s v="United Kingdom"/>
    <n v="17841"/>
    <n v="20713"/>
    <m/>
    <n v="1"/>
    <n v="1.95"/>
    <n v="1.95"/>
  </r>
  <r>
    <n v="542648"/>
    <x v="11"/>
    <s v="Germany"/>
    <n v="12476"/>
    <n v="21116"/>
    <m/>
    <n v="3"/>
    <n v="4.95"/>
    <n v="14.850000000000001"/>
  </r>
  <r>
    <n v="542887"/>
    <x v="12"/>
    <s v="Austria"/>
    <n v="12373"/>
    <n v="20713"/>
    <m/>
    <n v="10"/>
    <n v="1.95"/>
    <n v="19.5"/>
  </r>
  <r>
    <n v="543731"/>
    <x v="13"/>
    <s v="United Kingdom"/>
    <n v="17677"/>
    <n v="20713"/>
    <m/>
    <n v="100"/>
    <n v="1.65"/>
    <n v="165"/>
  </r>
  <r>
    <n v="543733"/>
    <x v="13"/>
    <s v="Belgium"/>
    <n v="12395"/>
    <n v="22740"/>
    <m/>
    <n v="48"/>
    <n v="0.85"/>
    <n v="40.799999999999997"/>
  </r>
  <r>
    <n v="543737"/>
    <x v="13"/>
    <s v="Germany"/>
    <n v="12477"/>
    <n v="21116"/>
    <m/>
    <n v="3"/>
    <n v="4.95"/>
    <n v="14.850000000000001"/>
  </r>
  <r>
    <n v="543831"/>
    <x v="14"/>
    <s v="United Kingdom"/>
    <n v="15769"/>
    <n v="20713"/>
    <m/>
    <n v="100"/>
    <n v="1.65"/>
    <n v="165"/>
  </r>
  <r>
    <n v="544355"/>
    <x v="15"/>
    <s v="France"/>
    <n v="12714"/>
    <n v="22741"/>
    <m/>
    <n v="48"/>
    <n v="0.85"/>
    <n v="40.799999999999997"/>
  </r>
  <r>
    <n v="544355"/>
    <x v="15"/>
    <s v="France"/>
    <n v="12714"/>
    <n v="22740"/>
    <m/>
    <n v="96"/>
    <n v="0.85"/>
    <n v="81.599999999999994"/>
  </r>
  <r>
    <n v="544399"/>
    <x v="15"/>
    <s v="Italy"/>
    <n v="12594"/>
    <n v="20713"/>
    <m/>
    <n v="10"/>
    <n v="1.95"/>
    <n v="19.5"/>
  </r>
  <r>
    <n v="544480"/>
    <x v="16"/>
    <s v="Netherlands"/>
    <n v="14646"/>
    <n v="20713"/>
    <m/>
    <n v="100"/>
    <n v="1.65"/>
    <n v="165"/>
  </r>
  <r>
    <n v="544480"/>
    <x v="16"/>
    <s v="Netherlands"/>
    <n v="14646"/>
    <n v="22653"/>
    <m/>
    <n v="200"/>
    <n v="1.65"/>
    <n v="330"/>
  </r>
  <r>
    <n v="544657"/>
    <x v="17"/>
    <s v="United Kingdom"/>
    <n v="14895"/>
    <n v="22174"/>
    <m/>
    <n v="12"/>
    <n v="1.65"/>
    <n v="19.799999999999997"/>
  </r>
  <r>
    <n v="544672"/>
    <x v="17"/>
    <s v="Netherlands"/>
    <n v="14646"/>
    <n v="22653"/>
    <m/>
    <n v="20"/>
    <n v="1.95"/>
    <n v="39"/>
  </r>
  <r>
    <n v="544672"/>
    <x v="17"/>
    <s v="Netherlands"/>
    <n v="14646"/>
    <n v="20713"/>
    <m/>
    <n v="100"/>
    <n v="1.65"/>
    <n v="165"/>
  </r>
  <r>
    <n v="544811"/>
    <x v="18"/>
    <s v="Germany"/>
    <n v="12471"/>
    <n v="22741"/>
    <m/>
    <n v="48"/>
    <n v="0.85"/>
    <n v="40.799999999999997"/>
  </r>
  <r>
    <n v="545664"/>
    <x v="19"/>
    <s v="Italy"/>
    <n v="12584"/>
    <n v="21260"/>
    <m/>
    <n v="6"/>
    <n v="3.25"/>
    <n v="19.5"/>
  </r>
  <r>
    <n v="545937"/>
    <x v="20"/>
    <s v="Portugal"/>
    <n v="12758"/>
    <n v="22740"/>
    <m/>
    <n v="48"/>
    <n v="0.85"/>
    <n v="40.799999999999997"/>
  </r>
  <r>
    <n v="545988"/>
    <x v="20"/>
    <s v="Germany"/>
    <n v="12662"/>
    <n v="20713"/>
    <m/>
    <n v="10"/>
    <n v="1.95"/>
    <n v="19.5"/>
  </r>
  <r>
    <n v="546780"/>
    <x v="21"/>
    <s v="Denmark"/>
    <n v="12435"/>
    <n v="20713"/>
    <m/>
    <n v="20"/>
    <n v="1.95"/>
    <n v="39"/>
  </r>
  <r>
    <n v="546843"/>
    <x v="21"/>
    <s v="Germany"/>
    <n v="12472"/>
    <n v="20713"/>
    <m/>
    <n v="10"/>
    <n v="1.95"/>
    <n v="19.5"/>
  </r>
  <r>
    <n v="546843"/>
    <x v="21"/>
    <s v="Germany"/>
    <n v="12472"/>
    <n v="22740"/>
    <m/>
    <n v="48"/>
    <n v="0.85"/>
    <n v="40.799999999999997"/>
  </r>
  <r>
    <n v="546920"/>
    <x v="22"/>
    <s v="Germany"/>
    <n v="12471"/>
    <n v="22741"/>
    <m/>
    <n v="48"/>
    <n v="0.85"/>
    <n v="40.799999999999997"/>
  </r>
  <r>
    <n v="547194"/>
    <x v="23"/>
    <s v="France"/>
    <n v="12637"/>
    <n v="20713"/>
    <m/>
    <n v="2"/>
    <n v="1.95"/>
    <n v="3.9"/>
  </r>
  <r>
    <n v="547517"/>
    <x v="24"/>
    <s v="Belgium"/>
    <n v="12395"/>
    <n v="22740"/>
    <m/>
    <n v="48"/>
    <n v="0.85"/>
    <n v="40.799999999999997"/>
  </r>
  <r>
    <n v="547685"/>
    <x v="25"/>
    <s v="Belgium"/>
    <n v="12408"/>
    <n v="20713"/>
    <m/>
    <n v="10"/>
    <n v="1.95"/>
    <n v="19.5"/>
  </r>
  <r>
    <n v="547897"/>
    <x v="26"/>
    <s v="Portugal"/>
    <n v="12792"/>
    <n v="21888"/>
    <m/>
    <n v="4"/>
    <n v="3.75"/>
    <n v="15"/>
  </r>
  <r>
    <n v="548711"/>
    <x v="27"/>
    <s v="United Kingdom"/>
    <n v="18116"/>
    <n v="22694"/>
    <m/>
    <n v="1"/>
    <n v="2.1"/>
    <n v="2.1"/>
  </r>
  <r>
    <n v="548745"/>
    <x v="28"/>
    <s v="Germany"/>
    <n v="12471"/>
    <n v="22741"/>
    <m/>
    <n v="48"/>
    <n v="0.85"/>
    <n v="40.799999999999997"/>
  </r>
  <r>
    <n v="550188"/>
    <x v="29"/>
    <s v="Switzerland"/>
    <n v="12457"/>
    <n v="21888"/>
    <m/>
    <n v="4"/>
    <n v="3.75"/>
    <n v="15"/>
  </r>
  <r>
    <n v="550665"/>
    <x v="30"/>
    <s v="Germany"/>
    <n v="12530"/>
    <n v="22740"/>
    <m/>
    <n v="48"/>
    <n v="0.85"/>
    <n v="40.799999999999997"/>
  </r>
  <r>
    <n v="550827"/>
    <x v="31"/>
    <s v="France"/>
    <n v="12670"/>
    <n v="22740"/>
    <m/>
    <n v="48"/>
    <n v="0.85"/>
    <n v="40.799999999999997"/>
  </r>
  <r>
    <n v="552337"/>
    <x v="32"/>
    <s v="Germany"/>
    <n v="12621"/>
    <n v="21116"/>
    <m/>
    <n v="3"/>
    <n v="4.95"/>
    <n v="14.850000000000001"/>
  </r>
  <r>
    <n v="552978"/>
    <x v="33"/>
    <s v="Germany"/>
    <n v="12590"/>
    <n v="22740"/>
    <m/>
    <n v="48"/>
    <n v="0.85"/>
    <n v="40.799999999999997"/>
  </r>
  <r>
    <n v="553037"/>
    <x v="34"/>
    <s v="Germany"/>
    <n v="12471"/>
    <n v="22741"/>
    <m/>
    <n v="48"/>
    <n v="0.85"/>
    <n v="40.799999999999997"/>
  </r>
  <r>
    <n v="553377"/>
    <x v="35"/>
    <s v="United Kingdom"/>
    <n v="14888"/>
    <n v="21888"/>
    <m/>
    <n v="6"/>
    <n v="3.75"/>
    <n v="22.5"/>
  </r>
  <r>
    <n v="553540"/>
    <x v="36"/>
    <s v="United Kingdom"/>
    <n v="17511"/>
    <n v="21888"/>
    <m/>
    <n v="4"/>
    <n v="3.75"/>
    <n v="15"/>
  </r>
  <r>
    <n v="553832"/>
    <x v="37"/>
    <s v="United Kingdom"/>
    <n v="12957"/>
    <n v="21025"/>
    <m/>
    <n v="10"/>
    <n v="1.25"/>
    <n v="12.5"/>
  </r>
  <r>
    <n v="554356"/>
    <x v="38"/>
    <s v="France"/>
    <n v="12670"/>
    <n v="22740"/>
    <m/>
    <n v="48"/>
    <n v="0.85"/>
    <n v="40.799999999999997"/>
  </r>
  <r>
    <n v="555095"/>
    <x v="39"/>
    <s v="Spain"/>
    <n v="12540"/>
    <n v="21116"/>
    <m/>
    <n v="3"/>
    <n v="4.95"/>
    <n v="14.850000000000001"/>
  </r>
  <r>
    <n v="555162"/>
    <x v="40"/>
    <s v="Germany"/>
    <n v="12473"/>
    <n v="22740"/>
    <m/>
    <n v="48"/>
    <n v="0.85"/>
    <n v="40.799999999999997"/>
  </r>
  <r>
    <n v="555162"/>
    <x v="40"/>
    <s v="Germany"/>
    <n v="12473"/>
    <n v="22741"/>
    <m/>
    <n v="48"/>
    <n v="0.85"/>
    <n v="40.799999999999997"/>
  </r>
  <r>
    <n v="555284"/>
    <x v="41"/>
    <s v="United Kingdom"/>
    <n v="14298"/>
    <n v="62018"/>
    <m/>
    <n v="48"/>
    <n v="1.25"/>
    <n v="60"/>
  </r>
  <r>
    <n v="555572"/>
    <x v="42"/>
    <s v="Belgium"/>
    <n v="12449"/>
    <n v="21888"/>
    <m/>
    <n v="4"/>
    <n v="3.75"/>
    <n v="15"/>
  </r>
  <r>
    <n v="555637"/>
    <x v="43"/>
    <s v="France"/>
    <n v="12535"/>
    <n v="21116"/>
    <m/>
    <n v="3"/>
    <n v="4.95"/>
    <n v="14.850000000000001"/>
  </r>
  <r>
    <n v="556258"/>
    <x v="44"/>
    <s v="France"/>
    <n v="12694"/>
    <n v="21888"/>
    <m/>
    <n v="4"/>
    <n v="3.75"/>
    <n v="15"/>
  </r>
  <r>
    <n v="557007"/>
    <x v="45"/>
    <s v="Spain"/>
    <n v="12484"/>
    <n v="22197"/>
    <m/>
    <n v="5"/>
    <n v="0.85"/>
    <n v="4.25"/>
  </r>
  <r>
    <n v="557466"/>
    <x v="46"/>
    <s v="Germany"/>
    <n v="13815"/>
    <n v="22740"/>
    <m/>
    <n v="48"/>
    <n v="0.85"/>
    <n v="40.799999999999997"/>
  </r>
  <r>
    <n v="557509"/>
    <x v="46"/>
    <s v="United Kingdom"/>
    <n v="15389"/>
    <n v="62018"/>
    <m/>
    <n v="400"/>
    <n v="1.25"/>
    <n v="500"/>
  </r>
  <r>
    <n v="557525"/>
    <x v="47"/>
    <s v="Netherlands"/>
    <n v="12759"/>
    <n v="21260"/>
    <m/>
    <n v="6"/>
    <n v="3.25"/>
    <n v="19.5"/>
  </r>
  <r>
    <n v="557789"/>
    <x v="48"/>
    <s v="Belgium"/>
    <n v="12379"/>
    <n v="22740"/>
    <m/>
    <n v="48"/>
    <n v="0.85"/>
    <n v="40.799999999999997"/>
  </r>
  <r>
    <n v="557885"/>
    <x v="49"/>
    <s v="Belgium"/>
    <n v="12465"/>
    <n v="22740"/>
    <m/>
    <n v="48"/>
    <n v="0.85"/>
    <n v="40.799999999999997"/>
  </r>
  <r>
    <n v="558262"/>
    <x v="50"/>
    <s v="Netherlands"/>
    <n v="14646"/>
    <n v="20713"/>
    <m/>
    <n v="200"/>
    <n v="1.79"/>
    <n v="358"/>
  </r>
  <r>
    <n v="558628"/>
    <x v="51"/>
    <s v="Germany"/>
    <n v="12626"/>
    <n v="20713"/>
    <m/>
    <n v="10"/>
    <n v="2.08"/>
    <n v="20.8"/>
  </r>
  <r>
    <n v="559036"/>
    <x v="52"/>
    <s v="France"/>
    <n v="12637"/>
    <n v="22174"/>
    <m/>
    <n v="12"/>
    <n v="1.65"/>
    <n v="19.799999999999997"/>
  </r>
  <r>
    <n v="559366"/>
    <x v="53"/>
    <s v="United Kingdom"/>
    <n v="13102"/>
    <n v="22197"/>
    <m/>
    <n v="24"/>
    <n v="0.85"/>
    <n v="20.399999999999999"/>
  </r>
  <r>
    <n v="559418"/>
    <x v="53"/>
    <s v="France"/>
    <n v="12681"/>
    <n v="22197"/>
    <m/>
    <n v="12"/>
    <n v="0.85"/>
    <n v="10.199999999999999"/>
  </r>
  <r>
    <n v="559550"/>
    <x v="54"/>
    <s v="United Kingdom"/>
    <n v="17757"/>
    <n v="22197"/>
    <m/>
    <n v="10"/>
    <n v="0.85"/>
    <n v="8.5"/>
  </r>
  <r>
    <n v="559665"/>
    <x v="55"/>
    <s v="Spain"/>
    <n v="12556"/>
    <n v="22197"/>
    <m/>
    <n v="4"/>
    <n v="0.85"/>
    <n v="3.4"/>
  </r>
  <r>
    <n v="559862"/>
    <x v="56"/>
    <s v="Portugal"/>
    <n v="12782"/>
    <n v="22740"/>
    <m/>
    <n v="48"/>
    <n v="0.85"/>
    <n v="40.799999999999997"/>
  </r>
  <r>
    <n v="559907"/>
    <x v="56"/>
    <s v="Portugal"/>
    <n v="12766"/>
    <n v="22740"/>
    <m/>
    <n v="96"/>
    <n v="0.85"/>
    <n v="81.599999999999994"/>
  </r>
  <r>
    <n v="560211"/>
    <x v="57"/>
    <s v="Germany"/>
    <n v="12621"/>
    <n v="20713"/>
    <m/>
    <n v="10"/>
    <n v="2.08"/>
    <n v="20.8"/>
  </r>
  <r>
    <n v="560590"/>
    <x v="58"/>
    <s v="Germany"/>
    <n v="12560"/>
    <n v="22740"/>
    <m/>
    <n v="48"/>
    <n v="0.85"/>
    <n v="40.799999999999997"/>
  </r>
  <r>
    <n v="560694"/>
    <x v="59"/>
    <s v="Portugal"/>
    <n v="12757"/>
    <n v="20713"/>
    <m/>
    <n v="10"/>
    <n v="2.08"/>
    <n v="20.8"/>
  </r>
  <r>
    <n v="560901"/>
    <x v="60"/>
    <s v="Germany"/>
    <n v="12476"/>
    <n v="21116"/>
    <m/>
    <n v="3"/>
    <n v="4.95"/>
    <n v="14.850000000000001"/>
  </r>
  <r>
    <n v="561066"/>
    <x v="61"/>
    <s v="United Kingdom"/>
    <n v="16710"/>
    <n v="22197"/>
    <m/>
    <n v="12"/>
    <n v="0.85"/>
    <n v="10.199999999999999"/>
  </r>
  <r>
    <n v="561093"/>
    <x v="62"/>
    <s v="Spain"/>
    <n v="12540"/>
    <n v="21116"/>
    <m/>
    <n v="6"/>
    <n v="4.95"/>
    <n v="29.700000000000003"/>
  </r>
  <r>
    <n v="561093"/>
    <x v="62"/>
    <s v="Spain"/>
    <n v="12540"/>
    <n v="22740"/>
    <m/>
    <n v="48"/>
    <n v="0.85"/>
    <n v="40.799999999999997"/>
  </r>
  <r>
    <n v="561902"/>
    <x v="63"/>
    <s v="Sweden"/>
    <n v="17404"/>
    <n v="21260"/>
    <m/>
    <n v="48"/>
    <n v="3.25"/>
    <n v="156"/>
  </r>
  <r>
    <n v="562605"/>
    <x v="64"/>
    <s v="Germany"/>
    <n v="12530"/>
    <n v="20713"/>
    <m/>
    <n v="10"/>
    <n v="2.08"/>
    <n v="20.8"/>
  </r>
  <r>
    <n v="562789"/>
    <x v="65"/>
    <s v="Netherlands"/>
    <n v="14646"/>
    <n v="20713"/>
    <m/>
    <n v="100"/>
    <n v="1.79"/>
    <n v="179"/>
  </r>
  <r>
    <n v="563749"/>
    <x v="66"/>
    <s v="Austria"/>
    <n v="12360"/>
    <n v="20713"/>
    <m/>
    <n v="10"/>
    <n v="2.08"/>
    <n v="20.8"/>
  </r>
  <r>
    <n v="563756"/>
    <x v="66"/>
    <s v="Switzerland"/>
    <n v="12418"/>
    <n v="21888"/>
    <m/>
    <n v="4"/>
    <n v="3.75"/>
    <n v="15"/>
  </r>
  <r>
    <n v="563808"/>
    <x v="66"/>
    <s v="Germany"/>
    <n v="12626"/>
    <n v="20713"/>
    <m/>
    <n v="20"/>
    <n v="2.08"/>
    <n v="41.6"/>
  </r>
  <r>
    <n v="563950"/>
    <x v="67"/>
    <s v="Germany"/>
    <n v="12471"/>
    <n v="22741"/>
    <m/>
    <n v="96"/>
    <n v="0.85"/>
    <n v="81.599999999999994"/>
  </r>
  <r>
    <n v="564140"/>
    <x v="68"/>
    <s v="Germany"/>
    <n v="12621"/>
    <n v="21116"/>
    <m/>
    <n v="3"/>
    <n v="4.95"/>
    <n v="14.850000000000001"/>
  </r>
  <r>
    <n v="564328"/>
    <x v="69"/>
    <s v="Germany"/>
    <n v="12662"/>
    <n v="20713"/>
    <m/>
    <n v="10"/>
    <n v="2.08"/>
    <n v="20.8"/>
  </r>
  <r>
    <n v="564360"/>
    <x v="69"/>
    <s v="Germany"/>
    <n v="12471"/>
    <n v="22741"/>
    <m/>
    <n v="96"/>
    <n v="0.85"/>
    <n v="81.599999999999994"/>
  </r>
  <r>
    <n v="564438"/>
    <x v="70"/>
    <s v="United Kingdom"/>
    <n v="16628"/>
    <n v="20713"/>
    <m/>
    <n v="20"/>
    <n v="2.08"/>
    <n v="41.6"/>
  </r>
  <r>
    <n v="564479"/>
    <x v="70"/>
    <s v="France"/>
    <n v="12682"/>
    <n v="22197"/>
    <m/>
    <n v="12"/>
    <n v="0.85"/>
    <n v="10.199999999999999"/>
  </r>
  <r>
    <n v="564539"/>
    <x v="70"/>
    <s v="Sweden"/>
    <n v="12715"/>
    <n v="20713"/>
    <m/>
    <n v="10"/>
    <n v="2.08"/>
    <n v="20.8"/>
  </r>
  <r>
    <n v="564734"/>
    <x v="71"/>
    <s v="Spain"/>
    <n v="12484"/>
    <n v="22197"/>
    <m/>
    <n v="18"/>
    <n v="0.85"/>
    <n v="15.299999999999999"/>
  </r>
  <r>
    <n v="564965"/>
    <x v="72"/>
    <s v="United Kingdom"/>
    <n v="17677"/>
    <n v="22197"/>
    <m/>
    <n v="12"/>
    <n v="0.85"/>
    <n v="10.199999999999999"/>
  </r>
  <r>
    <n v="565333"/>
    <x v="73"/>
    <s v="Finland"/>
    <n v="12375"/>
    <n v="20713"/>
    <m/>
    <n v="10"/>
    <n v="2.08"/>
    <n v="20.8"/>
  </r>
  <r>
    <n v="565386"/>
    <x v="73"/>
    <s v="United Kingdom"/>
    <n v="17997"/>
    <n v="22174"/>
    <m/>
    <n v="6"/>
    <n v="1.65"/>
    <n v="9.8999999999999986"/>
  </r>
  <r>
    <n v="565416"/>
    <x v="74"/>
    <s v="Germany"/>
    <n v="12710"/>
    <n v="22197"/>
    <m/>
    <n v="12"/>
    <n v="0.85"/>
    <n v="10.199999999999999"/>
  </r>
  <r>
    <n v="565430"/>
    <x v="74"/>
    <s v="Germany"/>
    <n v="14335"/>
    <n v="22174"/>
    <m/>
    <n v="12"/>
    <n v="1.65"/>
    <n v="19.799999999999997"/>
  </r>
  <r>
    <n v="565519"/>
    <x v="75"/>
    <s v="Spain"/>
    <n v="12502"/>
    <n v="22741"/>
    <m/>
    <n v="48"/>
    <n v="0.85"/>
    <n v="40.799999999999997"/>
  </r>
  <r>
    <n v="565765"/>
    <x v="76"/>
    <s v="Germany"/>
    <n v="12526"/>
    <n v="20713"/>
    <m/>
    <n v="10"/>
    <n v="2.08"/>
    <n v="20.8"/>
  </r>
  <r>
    <n v="565854"/>
    <x v="77"/>
    <s v="France"/>
    <n v="12490"/>
    <n v="22197"/>
    <m/>
    <n v="36"/>
    <n v="0.85"/>
    <n v="30.599999999999998"/>
  </r>
  <r>
    <n v="565865"/>
    <x v="77"/>
    <s v="France"/>
    <n v="12637"/>
    <n v="22174"/>
    <m/>
    <n v="12"/>
    <n v="1.65"/>
    <n v="19.799999999999997"/>
  </r>
  <r>
    <n v="565930"/>
    <x v="78"/>
    <s v="France"/>
    <n v="12685"/>
    <n v="22174"/>
    <m/>
    <n v="12"/>
    <n v="1.65"/>
    <n v="19.799999999999997"/>
  </r>
  <r>
    <n v="565967"/>
    <x v="78"/>
    <s v="Netherlands"/>
    <n v="14646"/>
    <n v="20713"/>
    <m/>
    <n v="10"/>
    <n v="2.08"/>
    <n v="20.8"/>
  </r>
  <r>
    <n v="565967"/>
    <x v="78"/>
    <s v="Netherlands"/>
    <n v="14646"/>
    <n v="22653"/>
    <m/>
    <n v="20"/>
    <n v="1.95"/>
    <n v="39"/>
  </r>
  <r>
    <n v="566076"/>
    <x v="79"/>
    <s v="Belgium"/>
    <n v="12449"/>
    <n v="21888"/>
    <m/>
    <n v="4"/>
    <n v="3.75"/>
    <n v="15"/>
  </r>
  <r>
    <n v="566163"/>
    <x v="79"/>
    <s v="France"/>
    <n v="12637"/>
    <n v="22174"/>
    <m/>
    <n v="12"/>
    <n v="1.65"/>
    <n v="19.799999999999997"/>
  </r>
  <r>
    <n v="566195"/>
    <x v="79"/>
    <s v="Norway"/>
    <n v="12433"/>
    <n v="22197"/>
    <m/>
    <n v="100"/>
    <n v="0.72"/>
    <n v="72"/>
  </r>
  <r>
    <n v="566567"/>
    <x v="80"/>
    <s v="United Kingdom"/>
    <n v="16161"/>
    <n v="20713"/>
    <m/>
    <n v="10"/>
    <n v="2.08"/>
    <n v="20.8"/>
  </r>
  <r>
    <n v="566721"/>
    <x v="81"/>
    <s v="United Kingdom"/>
    <n v="12921"/>
    <n v="22653"/>
    <m/>
    <n v="10"/>
    <n v="1.95"/>
    <n v="19.5"/>
  </r>
  <r>
    <n v="567185"/>
    <x v="82"/>
    <s v="United Kingdom"/>
    <n v="16370"/>
    <n v="20713"/>
    <m/>
    <n v="4"/>
    <n v="2.08"/>
    <n v="8.32"/>
  </r>
  <r>
    <n v="567280"/>
    <x v="83"/>
    <s v="Netherlands"/>
    <n v="14646"/>
    <n v="20713"/>
    <m/>
    <n v="100"/>
    <n v="1.79"/>
    <n v="179"/>
  </r>
  <r>
    <n v="567526"/>
    <x v="84"/>
    <s v="Denmark"/>
    <n v="12435"/>
    <n v="20713"/>
    <m/>
    <n v="100"/>
    <n v="1.79"/>
    <n v="179"/>
  </r>
  <r>
    <n v="567552"/>
    <x v="84"/>
    <s v="France"/>
    <n v="12583"/>
    <n v="22197"/>
    <m/>
    <n v="24"/>
    <n v="0.85"/>
    <n v="20.399999999999999"/>
  </r>
  <r>
    <n v="567795"/>
    <x v="85"/>
    <s v="Netherlands"/>
    <n v="14646"/>
    <n v="20713"/>
    <m/>
    <n v="100"/>
    <n v="1.79"/>
    <n v="179"/>
  </r>
  <r>
    <n v="567915"/>
    <x v="85"/>
    <s v="France"/>
    <n v="12579"/>
    <n v="62018"/>
    <m/>
    <n v="6"/>
    <n v="1.95"/>
    <n v="11.7"/>
  </r>
  <r>
    <n v="567924"/>
    <x v="85"/>
    <s v="Germany"/>
    <n v="12471"/>
    <n v="22741"/>
    <m/>
    <n v="48"/>
    <n v="0.85"/>
    <n v="40.799999999999997"/>
  </r>
  <r>
    <n v="567928"/>
    <x v="85"/>
    <s v="Belgium"/>
    <n v="12380"/>
    <n v="20713"/>
    <m/>
    <n v="10"/>
    <n v="2.08"/>
    <n v="20.8"/>
  </r>
  <r>
    <n v="567938"/>
    <x v="85"/>
    <s v="Finland"/>
    <n v="12704"/>
    <n v="22694"/>
    <m/>
    <n v="6"/>
    <n v="2.1"/>
    <n v="12.600000000000001"/>
  </r>
  <r>
    <n v="568040"/>
    <x v="86"/>
    <s v="France"/>
    <n v="12681"/>
    <n v="22197"/>
    <m/>
    <n v="12"/>
    <n v="0.85"/>
    <n v="10.199999999999999"/>
  </r>
  <r>
    <n v="568179"/>
    <x v="87"/>
    <s v="Spain"/>
    <n v="12545"/>
    <n v="22197"/>
    <m/>
    <n v="12"/>
    <n v="0.85"/>
    <n v="10.199999999999999"/>
  </r>
  <r>
    <n v="568650"/>
    <x v="88"/>
    <s v="Switzerland"/>
    <n v="13505"/>
    <n v="22653"/>
    <m/>
    <n v="10"/>
    <n v="1.95"/>
    <n v="19.5"/>
  </r>
  <r>
    <n v="568650"/>
    <x v="88"/>
    <s v="Switzerland"/>
    <n v="13505"/>
    <n v="22174"/>
    <m/>
    <n v="12"/>
    <n v="1.65"/>
    <n v="19.799999999999997"/>
  </r>
  <r>
    <n v="568953"/>
    <x v="89"/>
    <s v="France"/>
    <n v="12728"/>
    <n v="22197"/>
    <m/>
    <n v="12"/>
    <n v="0.85"/>
    <n v="10.199999999999999"/>
  </r>
  <r>
    <n v="568953"/>
    <x v="89"/>
    <s v="France"/>
    <n v="12728"/>
    <n v="22741"/>
    <m/>
    <n v="48"/>
    <n v="0.85"/>
    <n v="40.799999999999997"/>
  </r>
  <r>
    <n v="569332"/>
    <x v="90"/>
    <s v="France"/>
    <n v="12637"/>
    <n v="20713"/>
    <m/>
    <n v="3"/>
    <n v="2.08"/>
    <n v="6.24"/>
  </r>
  <r>
    <n v="569486"/>
    <x v="91"/>
    <s v="United Kingdom"/>
    <n v="15339"/>
    <n v="22694"/>
    <m/>
    <n v="2"/>
    <n v="2.1"/>
    <n v="4.2"/>
  </r>
  <r>
    <n v="569562"/>
    <x v="92"/>
    <s v="Germany"/>
    <n v="12720"/>
    <n v="22197"/>
    <m/>
    <n v="12"/>
    <n v="0.85"/>
    <n v="10.199999999999999"/>
  </r>
  <r>
    <n v="569640"/>
    <x v="92"/>
    <s v="Germany"/>
    <n v="12471"/>
    <n v="22741"/>
    <m/>
    <n v="96"/>
    <n v="0.85"/>
    <n v="81.599999999999994"/>
  </r>
  <r>
    <n v="569653"/>
    <x v="92"/>
    <s v="Switzerland"/>
    <n v="12451"/>
    <n v="20713"/>
    <m/>
    <n v="10"/>
    <n v="2.08"/>
    <n v="20.8"/>
  </r>
  <r>
    <n v="569844"/>
    <x v="93"/>
    <s v="Germany"/>
    <n v="12626"/>
    <n v="20713"/>
    <m/>
    <n v="10"/>
    <n v="2.08"/>
    <n v="20.8"/>
  </r>
  <r>
    <n v="569848"/>
    <x v="93"/>
    <s v="United Kingdom"/>
    <n v="16316"/>
    <n v="22197"/>
    <m/>
    <n v="24"/>
    <n v="0.85"/>
    <n v="20.399999999999999"/>
  </r>
  <r>
    <n v="569860"/>
    <x v="93"/>
    <s v="Germany"/>
    <n v="13812"/>
    <n v="22197"/>
    <m/>
    <n v="12"/>
    <n v="0.85"/>
    <n v="10.199999999999999"/>
  </r>
  <r>
    <n v="569866"/>
    <x v="93"/>
    <s v="Portugal"/>
    <n v="12757"/>
    <n v="20713"/>
    <m/>
    <n v="10"/>
    <n v="2.08"/>
    <n v="20.8"/>
  </r>
  <r>
    <n v="569866"/>
    <x v="93"/>
    <s v="Portugal"/>
    <n v="12757"/>
    <n v="22741"/>
    <m/>
    <n v="12"/>
    <n v="0.85"/>
    <n v="10.199999999999999"/>
  </r>
  <r>
    <n v="570249"/>
    <x v="94"/>
    <s v="United Kingdom"/>
    <n v="17509"/>
    <n v="21888"/>
    <m/>
    <n v="4"/>
    <n v="3.75"/>
    <n v="15"/>
  </r>
  <r>
    <n v="570653"/>
    <x v="95"/>
    <s v="United Kingdom"/>
    <n v="14710"/>
    <n v="22197"/>
    <m/>
    <n v="6"/>
    <n v="0.85"/>
    <n v="5.0999999999999996"/>
  </r>
  <r>
    <n v="570672"/>
    <x v="95"/>
    <s v="France"/>
    <n v="12536"/>
    <n v="21888"/>
    <m/>
    <n v="4"/>
    <n v="3.75"/>
    <n v="15"/>
  </r>
  <r>
    <n v="570833"/>
    <x v="96"/>
    <s v="United Kingdom"/>
    <n v="14834"/>
    <n v="22197"/>
    <m/>
    <n v="24"/>
    <n v="0.85"/>
    <n v="20.399999999999999"/>
  </r>
  <r>
    <n v="570851"/>
    <x v="96"/>
    <s v="France"/>
    <n v="12583"/>
    <n v="22197"/>
    <m/>
    <n v="12"/>
    <n v="0.85"/>
    <n v="10.199999999999999"/>
  </r>
  <r>
    <n v="570964"/>
    <x v="97"/>
    <s v="Portugal"/>
    <n v="12766"/>
    <n v="21888"/>
    <m/>
    <n v="4"/>
    <n v="3.75"/>
    <n v="15"/>
  </r>
  <r>
    <n v="571227"/>
    <x v="98"/>
    <s v="Germany"/>
    <n v="12477"/>
    <n v="21116"/>
    <m/>
    <n v="6"/>
    <n v="4.95"/>
    <n v="29.700000000000003"/>
  </r>
  <r>
    <n v="571280"/>
    <x v="99"/>
    <s v="United Kingdom"/>
    <n v="18122"/>
    <n v="22197"/>
    <m/>
    <n v="6"/>
    <n v="0.85"/>
    <n v="5.0999999999999996"/>
  </r>
  <r>
    <n v="571328"/>
    <x v="100"/>
    <s v="Germany"/>
    <n v="12473"/>
    <n v="22741"/>
    <m/>
    <n v="48"/>
    <n v="0.85"/>
    <n v="40.799999999999997"/>
  </r>
  <r>
    <n v="571670"/>
    <x v="101"/>
    <s v="Italy"/>
    <n v="12611"/>
    <n v="22197"/>
    <m/>
    <n v="12"/>
    <n v="0.85"/>
    <n v="10.199999999999999"/>
  </r>
  <r>
    <n v="571904"/>
    <x v="102"/>
    <s v="Germany"/>
    <n v="12522"/>
    <n v="21116"/>
    <m/>
    <n v="3"/>
    <n v="4.95"/>
    <n v="14.850000000000001"/>
  </r>
  <r>
    <n v="572058"/>
    <x v="103"/>
    <s v="United Kingdom"/>
    <n v="18252"/>
    <n v="23417"/>
    <m/>
    <n v="1"/>
    <n v="1.65"/>
    <n v="1.65"/>
  </r>
  <r>
    <n v="572065"/>
    <x v="103"/>
    <s v="Spain"/>
    <n v="12556"/>
    <n v="22197"/>
    <m/>
    <n v="3"/>
    <n v="0.85"/>
    <n v="2.5499999999999998"/>
  </r>
  <r>
    <n v="572327"/>
    <x v="104"/>
    <s v="United Kingdom"/>
    <n v="15277"/>
    <n v="21888"/>
    <m/>
    <n v="8"/>
    <n v="3.75"/>
    <n v="30"/>
  </r>
  <r>
    <n v="572887"/>
    <x v="105"/>
    <s v="Belgium"/>
    <n v="12362"/>
    <n v="22174"/>
    <m/>
    <n v="12"/>
    <n v="1.65"/>
    <n v="19.799999999999997"/>
  </r>
  <r>
    <n v="573333"/>
    <x v="106"/>
    <s v="Sweden"/>
    <n v="12483"/>
    <n v="21888"/>
    <m/>
    <n v="4"/>
    <n v="3.75"/>
    <n v="15"/>
  </r>
  <r>
    <n v="573343"/>
    <x v="106"/>
    <s v="United Kingdom"/>
    <n v="13566"/>
    <n v="21888"/>
    <m/>
    <n v="2"/>
    <n v="3.75"/>
    <n v="7.5"/>
  </r>
  <r>
    <n v="573656"/>
    <x v="107"/>
    <s v="Belgium"/>
    <n v="12417"/>
    <n v="22741"/>
    <m/>
    <n v="48"/>
    <n v="0.85"/>
    <n v="40.799999999999997"/>
  </r>
  <r>
    <n v="573814"/>
    <x v="108"/>
    <s v="United Kingdom"/>
    <n v="13268"/>
    <n v="23417"/>
    <m/>
    <n v="4"/>
    <n v="1.65"/>
    <n v="6.6"/>
  </r>
  <r>
    <n v="573889"/>
    <x v="108"/>
    <s v="United Kingdom"/>
    <n v="13571"/>
    <n v="22197"/>
    <m/>
    <n v="15"/>
    <n v="0.85"/>
    <n v="12.75"/>
  </r>
  <r>
    <n v="574093"/>
    <x v="109"/>
    <s v="France"/>
    <n v="12437"/>
    <n v="22197"/>
    <m/>
    <n v="12"/>
    <n v="0.85"/>
    <n v="10.199999999999999"/>
  </r>
  <r>
    <n v="574329"/>
    <x v="110"/>
    <s v="Belgium"/>
    <n v="12362"/>
    <n v="22197"/>
    <m/>
    <n v="36"/>
    <n v="0.85"/>
    <n v="30.599999999999998"/>
  </r>
  <r>
    <n v="574501"/>
    <x v="110"/>
    <s v="France"/>
    <n v="12577"/>
    <n v="22174"/>
    <m/>
    <n v="3"/>
    <n v="1.65"/>
    <n v="4.9499999999999993"/>
  </r>
  <r>
    <n v="574506"/>
    <x v="110"/>
    <s v="France"/>
    <n v="12577"/>
    <n v="22197"/>
    <m/>
    <n v="2"/>
    <n v="0.85"/>
    <n v="1.7"/>
  </r>
  <r>
    <n v="574506"/>
    <x v="110"/>
    <s v="France"/>
    <n v="12577"/>
    <n v="22197"/>
    <m/>
    <n v="4"/>
    <n v="0.85"/>
    <n v="3.4"/>
  </r>
  <r>
    <n v="574550"/>
    <x v="110"/>
    <s v="Spain"/>
    <n v="12484"/>
    <n v="22197"/>
    <m/>
    <n v="12"/>
    <n v="0.85"/>
    <n v="10.199999999999999"/>
  </r>
  <r>
    <n v="574575"/>
    <x v="110"/>
    <s v="United Kingdom"/>
    <n v="14971"/>
    <n v="22694"/>
    <m/>
    <n v="2"/>
    <n v="2.1"/>
    <n v="4.2"/>
  </r>
  <r>
    <n v="574709"/>
    <x v="111"/>
    <s v="United Kingdom"/>
    <n v="17768"/>
    <n v="22197"/>
    <m/>
    <n v="22"/>
    <n v="0.85"/>
    <n v="18.7"/>
  </r>
  <r>
    <n v="574714"/>
    <x v="111"/>
    <s v="United Kingdom"/>
    <n v="15427"/>
    <n v="22197"/>
    <m/>
    <n v="4"/>
    <n v="0.85"/>
    <n v="3.4"/>
  </r>
  <r>
    <n v="574740"/>
    <x v="111"/>
    <s v="Switzerland"/>
    <n v="12357"/>
    <n v="22190"/>
    <m/>
    <n v="12"/>
    <n v="2.1"/>
    <n v="25.200000000000003"/>
  </r>
  <r>
    <n v="574740"/>
    <x v="111"/>
    <s v="Switzerland"/>
    <n v="12357"/>
    <n v="21116"/>
    <m/>
    <n v="16"/>
    <n v="4.25"/>
    <n v="68"/>
  </r>
  <r>
    <n v="575067"/>
    <x v="112"/>
    <s v="France"/>
    <n v="12583"/>
    <n v="22197"/>
    <m/>
    <n v="24"/>
    <n v="0.85"/>
    <n v="20.399999999999999"/>
  </r>
  <r>
    <n v="575331"/>
    <x v="113"/>
    <s v="United Kingdom"/>
    <n v="13209"/>
    <n v="22197"/>
    <m/>
    <n v="12"/>
    <n v="0.85"/>
    <n v="10.199999999999999"/>
  </r>
  <r>
    <n v="575507"/>
    <x v="114"/>
    <s v="United Kingdom"/>
    <n v="17197"/>
    <n v="21888"/>
    <m/>
    <n v="4"/>
    <n v="3.75"/>
    <n v="15"/>
  </r>
  <r>
    <n v="575514"/>
    <x v="114"/>
    <s v="Spain"/>
    <n v="12541"/>
    <n v="22197"/>
    <m/>
    <n v="24"/>
    <n v="0.85"/>
    <n v="20.399999999999999"/>
  </r>
  <r>
    <n v="575880"/>
    <x v="115"/>
    <s v="France"/>
    <n v="12726"/>
    <n v="21888"/>
    <m/>
    <n v="4"/>
    <n v="3.75"/>
    <n v="15"/>
  </r>
  <r>
    <n v="575886"/>
    <x v="115"/>
    <s v="Germany"/>
    <n v="12517"/>
    <n v="20713"/>
    <m/>
    <n v="3"/>
    <n v="2.08"/>
    <n v="6.24"/>
  </r>
  <r>
    <n v="576215"/>
    <x v="116"/>
    <s v="United Kingdom"/>
    <n v="17652"/>
    <n v="22197"/>
    <m/>
    <n v="24"/>
    <n v="0.85"/>
    <n v="20.399999999999999"/>
  </r>
  <r>
    <n v="576255"/>
    <x v="116"/>
    <s v="United Kingdom"/>
    <n v="15993"/>
    <n v="22197"/>
    <m/>
    <n v="10"/>
    <n v="0.85"/>
    <n v="8.5"/>
  </r>
  <r>
    <n v="576629"/>
    <x v="117"/>
    <s v="Germany"/>
    <n v="12621"/>
    <n v="62018"/>
    <m/>
    <n v="6"/>
    <n v="1.95"/>
    <n v="11.7"/>
  </r>
  <r>
    <n v="577033"/>
    <x v="118"/>
    <s v="United Kingdom"/>
    <n v="17797"/>
    <n v="22694"/>
    <m/>
    <n v="4"/>
    <n v="2.1"/>
    <n v="8.4"/>
  </r>
  <r>
    <n v="577046"/>
    <x v="118"/>
    <s v="Belgium"/>
    <n v="12449"/>
    <n v="22174"/>
    <m/>
    <n v="12"/>
    <n v="1.65"/>
    <n v="19.799999999999997"/>
  </r>
  <r>
    <n v="577121"/>
    <x v="118"/>
    <s v="France"/>
    <n v="12681"/>
    <n v="22197"/>
    <m/>
    <n v="12"/>
    <n v="0.85"/>
    <n v="10.199999999999999"/>
  </r>
  <r>
    <n v="577152"/>
    <x v="119"/>
    <s v="France"/>
    <n v="14277"/>
    <n v="22741"/>
    <m/>
    <n v="48"/>
    <n v="0.85"/>
    <n v="40.799999999999997"/>
  </r>
  <r>
    <n v="577314"/>
    <x v="119"/>
    <s v="Norway"/>
    <n v="12444"/>
    <n v="22694"/>
    <m/>
    <n v="6"/>
    <n v="2.1"/>
    <n v="12.600000000000001"/>
  </r>
  <r>
    <n v="577316"/>
    <x v="119"/>
    <s v="Italy"/>
    <n v="12578"/>
    <n v="21888"/>
    <m/>
    <n v="4"/>
    <n v="3.75"/>
    <n v="15"/>
  </r>
  <r>
    <n v="577476"/>
    <x v="120"/>
    <s v="Spain"/>
    <n v="12540"/>
    <n v="21116"/>
    <m/>
    <n v="6"/>
    <n v="4.95"/>
    <n v="29.700000000000003"/>
  </r>
  <r>
    <n v="577476"/>
    <x v="120"/>
    <s v="Spain"/>
    <n v="12540"/>
    <n v="22741"/>
    <m/>
    <n v="48"/>
    <n v="0.85"/>
    <n v="40.799999999999997"/>
  </r>
  <r>
    <n v="577938"/>
    <x v="121"/>
    <s v="United Kingdom"/>
    <n v="15525"/>
    <n v="22197"/>
    <m/>
    <n v="2"/>
    <n v="0.85"/>
    <n v="1.7"/>
  </r>
  <r>
    <n v="578108"/>
    <x v="122"/>
    <s v="Italy"/>
    <n v="14912"/>
    <n v="22197"/>
    <m/>
    <n v="100"/>
    <n v="0.72"/>
    <n v="72"/>
  </r>
  <r>
    <n v="578147"/>
    <x v="122"/>
    <s v="United Kingdom"/>
    <n v="12748"/>
    <n v="22197"/>
    <m/>
    <n v="4"/>
    <n v="0.85"/>
    <n v="3.4"/>
  </r>
  <r>
    <n v="578781"/>
    <x v="123"/>
    <s v="United Kingdom"/>
    <n v="15872"/>
    <n v="62018"/>
    <m/>
    <n v="1"/>
    <n v="1.95"/>
    <n v="1.95"/>
  </r>
  <r>
    <n v="578949"/>
    <x v="124"/>
    <s v="United Kingdom"/>
    <n v="14954"/>
    <n v="21260"/>
    <m/>
    <n v="1"/>
    <n v="3.25"/>
    <n v="3.25"/>
  </r>
  <r>
    <n v="579135"/>
    <x v="125"/>
    <s v="United Kingdom"/>
    <n v="18096"/>
    <n v="22197"/>
    <m/>
    <n v="20"/>
    <n v="0.85"/>
    <n v="17"/>
  </r>
  <r>
    <n v="579503"/>
    <x v="126"/>
    <s v="Spain"/>
    <n v="17097"/>
    <n v="20713"/>
    <m/>
    <n v="1"/>
    <n v="2.08"/>
    <n v="2.08"/>
  </r>
  <r>
    <n v="579692"/>
    <x v="127"/>
    <s v="Norway"/>
    <n v="12433"/>
    <n v="22197"/>
    <m/>
    <n v="100"/>
    <n v="0.72"/>
    <n v="72"/>
  </r>
  <r>
    <n v="580265"/>
    <x v="128"/>
    <s v="Finland"/>
    <n v="12587"/>
    <n v="20713"/>
    <m/>
    <n v="10"/>
    <n v="2.08"/>
    <n v="20.8"/>
  </r>
  <r>
    <n v="580998"/>
    <x v="129"/>
    <s v="United Kingdom"/>
    <n v="16987"/>
    <n v="22694"/>
    <m/>
    <n v="2"/>
    <n v="2.1"/>
    <n v="4.2"/>
  </r>
  <r>
    <n v="581246"/>
    <x v="130"/>
    <s v="United Kingdom"/>
    <n v="15453"/>
    <n v="22694"/>
    <m/>
    <n v="1"/>
    <n v="2.1"/>
    <n v="2.1"/>
  </r>
  <r>
    <n v="581253"/>
    <x v="130"/>
    <s v="United Kingdom"/>
    <n v="16891"/>
    <n v="22694"/>
    <m/>
    <n v="4"/>
    <n v="2.1"/>
    <n v="8.4"/>
  </r>
  <r>
    <n v="581412"/>
    <x v="130"/>
    <s v="United Kingdom"/>
    <n v="14415"/>
    <n v="20713"/>
    <m/>
    <n v="5"/>
    <n v="2.08"/>
    <n v="10.4"/>
  </r>
  <r>
    <n v="581476"/>
    <x v="131"/>
    <s v="Norway"/>
    <n v="12433"/>
    <n v="22197"/>
    <m/>
    <n v="100"/>
    <n v="0.72"/>
    <n v="7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
  <r>
    <s v="Afghanistan"/>
    <x v="0"/>
    <n v="38041754"/>
    <n v="652230"/>
  </r>
  <r>
    <s v="Albania"/>
    <x v="1"/>
    <n v="2854191"/>
    <n v="28748"/>
  </r>
  <r>
    <s v="Algeria"/>
    <x v="2"/>
    <n v="43053054"/>
    <n v="2381741"/>
  </r>
  <r>
    <s v="Andorra"/>
    <x v="1"/>
    <n v="77142"/>
    <n v="468"/>
  </r>
  <r>
    <s v="Angola"/>
    <x v="3"/>
    <n v="31825295"/>
    <n v="1246700"/>
  </r>
  <r>
    <s v="Antigua and Barbuda"/>
    <x v="4"/>
    <n v="97118"/>
    <n v="442.6"/>
  </r>
  <r>
    <s v="Argentina"/>
    <x v="4"/>
    <n v="44938712"/>
    <n v="2780400"/>
  </r>
  <r>
    <s v="Armenia"/>
    <x v="1"/>
    <n v="2957731"/>
    <n v="29743"/>
  </r>
  <r>
    <s v="Australia"/>
    <x v="5"/>
    <n v="25364307"/>
    <n v="7741220"/>
  </r>
  <r>
    <s v="Austria"/>
    <x v="1"/>
    <n v="8877067"/>
    <n v="83871"/>
  </r>
  <r>
    <s v="Azerbaijan"/>
    <x v="1"/>
    <n v="10023318"/>
    <n v="86600"/>
  </r>
  <r>
    <s v="Bahrain"/>
    <x v="2"/>
    <n v="1641172"/>
    <n v="765.3"/>
  </r>
  <r>
    <s v="Bangladesh"/>
    <x v="0"/>
    <n v="163046161"/>
    <n v="148460"/>
  </r>
  <r>
    <s v="Belarus"/>
    <x v="1"/>
    <n v="9466856"/>
    <n v="207600"/>
  </r>
  <r>
    <s v="Belgium"/>
    <x v="1"/>
    <n v="11484055"/>
    <n v="30528"/>
  </r>
  <r>
    <s v="Belize"/>
    <x v="4"/>
    <n v="390353"/>
    <n v="22966"/>
  </r>
  <r>
    <s v="Benin"/>
    <x v="3"/>
    <n v="11801151"/>
    <n v="112622"/>
  </r>
  <r>
    <s v="Bhutan"/>
    <x v="0"/>
    <n v="763092"/>
    <n v="38394"/>
  </r>
  <r>
    <s v="Bolivia"/>
    <x v="4"/>
    <n v="11513100"/>
    <n v="1098581"/>
  </r>
  <r>
    <s v="Bosnia and Herzegovina"/>
    <x v="1"/>
    <n v="3301000"/>
    <n v="51197"/>
  </r>
  <r>
    <s v="Botswana"/>
    <x v="3"/>
    <n v="2303697"/>
    <n v="581730"/>
  </r>
  <r>
    <s v="Brazil"/>
    <x v="4"/>
    <n v="212559417"/>
    <n v="8515770"/>
  </r>
  <r>
    <s v="Brunei Darussalam"/>
    <x v="5"/>
    <n v="433285"/>
    <n v="5765"/>
  </r>
  <r>
    <s v="Bulgaria"/>
    <x v="1"/>
    <n v="6975761"/>
    <n v="110879"/>
  </r>
  <r>
    <s v="Burkina Faso"/>
    <x v="3"/>
    <n v="20321378"/>
    <n v="274200"/>
  </r>
  <r>
    <s v="Burundi"/>
    <x v="3"/>
    <n v="11530580"/>
    <n v="27830"/>
  </r>
  <r>
    <s v="Cabo Verde"/>
    <x v="3"/>
    <n v="549935"/>
    <n v="4033"/>
  </r>
  <r>
    <s v="Cambodia"/>
    <x v="5"/>
    <n v="16486542"/>
    <n v="181035"/>
  </r>
  <r>
    <s v="Cameroon"/>
    <x v="3"/>
    <n v="25876380"/>
    <n v="475440"/>
  </r>
  <r>
    <s v="Canada"/>
    <x v="6"/>
    <n v="37589262"/>
    <n v="9984670"/>
  </r>
  <r>
    <s v="Central African Republic"/>
    <x v="3"/>
    <n v="4745185"/>
    <n v="622984"/>
  </r>
  <r>
    <s v="Chad"/>
    <x v="3"/>
    <n v="15946876"/>
    <n v="1284000"/>
  </r>
  <r>
    <s v="Chile"/>
    <x v="4"/>
    <n v="18952038"/>
    <n v="756096.3"/>
  </r>
  <r>
    <s v="China"/>
    <x v="5"/>
    <n v="1397715000"/>
    <n v="9596960"/>
  </r>
  <r>
    <s v="Colombia"/>
    <x v="4"/>
    <n v="50339443"/>
    <n v="1138910"/>
  </r>
  <r>
    <s v="Comoros"/>
    <x v="3"/>
    <n v="850886"/>
    <n v="2235"/>
  </r>
  <r>
    <s v="Congo, Dem. Rep."/>
    <x v="3"/>
    <n v="86790567"/>
    <n v="2344858"/>
  </r>
  <r>
    <s v="Congo, Rep."/>
    <x v="3"/>
    <n v="5380508"/>
    <n v="342000"/>
  </r>
  <r>
    <s v="Costa Rica"/>
    <x v="4"/>
    <n v="5047561"/>
    <n v="51100"/>
  </r>
  <r>
    <s v="Cote d'Ivoire"/>
    <x v="3"/>
    <n v="25716544"/>
    <n v="322463"/>
  </r>
  <r>
    <s v="Croatia"/>
    <x v="1"/>
    <n v="4067500"/>
    <n v="56594"/>
  </r>
  <r>
    <s v="Cyprus"/>
    <x v="1"/>
    <n v="1198575"/>
    <n v="9251"/>
  </r>
  <r>
    <s v="Czech Republic"/>
    <x v="1"/>
    <n v="10669709"/>
    <n v="78867"/>
  </r>
  <r>
    <s v="Denmark"/>
    <x v="1"/>
    <n v="5818553"/>
    <n v="43094"/>
  </r>
  <r>
    <s v="Djibouti"/>
    <x v="2"/>
    <n v="973560"/>
    <n v="23200"/>
  </r>
  <r>
    <s v="Dominica"/>
    <x v="4"/>
    <n v="71808"/>
    <n v="751"/>
  </r>
  <r>
    <s v="Dominican Republic"/>
    <x v="4"/>
    <n v="10738958"/>
    <n v="48670"/>
  </r>
  <r>
    <s v="Ecuador"/>
    <x v="4"/>
    <n v="17373662"/>
    <n v="283561"/>
  </r>
  <r>
    <s v="Egypt, Arab Rep."/>
    <x v="2"/>
    <n v="100388073"/>
    <n v="1001450"/>
  </r>
  <r>
    <s v="El Salvador"/>
    <x v="4"/>
    <n v="6453553"/>
    <n v="21041"/>
  </r>
  <r>
    <s v="Equatorial Guinea"/>
    <x v="3"/>
    <n v="1355986"/>
    <n v="28051"/>
  </r>
  <r>
    <s v="Estonia"/>
    <x v="1"/>
    <n v="1326590"/>
    <n v="45228"/>
  </r>
  <r>
    <s v="Eswatini"/>
    <x v="3"/>
    <n v="1093238"/>
    <n v="17364"/>
  </r>
  <r>
    <s v="Ethiopia"/>
    <x v="3"/>
    <n v="112078730"/>
    <n v="1104300"/>
  </r>
  <r>
    <s v="Fiji"/>
    <x v="5"/>
    <n v="889953"/>
    <n v="18274"/>
  </r>
  <r>
    <s v="Finland"/>
    <x v="1"/>
    <n v="5520314"/>
    <n v="338145"/>
  </r>
  <r>
    <s v="France"/>
    <x v="1"/>
    <n v="67059887"/>
    <n v="643801"/>
  </r>
  <r>
    <s v="Gabon"/>
    <x v="3"/>
    <n v="2172579"/>
    <n v="267667"/>
  </r>
  <r>
    <s v="Gambia, The"/>
    <x v="3"/>
    <n v="2347706"/>
    <n v="11300"/>
  </r>
  <r>
    <s v="Georgia"/>
    <x v="1"/>
    <n v="3720382"/>
    <n v="69700"/>
  </r>
  <r>
    <s v="Germany"/>
    <x v="1"/>
    <n v="83132799"/>
    <n v="357022"/>
  </r>
  <r>
    <s v="Ghana"/>
    <x v="3"/>
    <n v="30417856"/>
    <n v="238533"/>
  </r>
  <r>
    <s v="Greece"/>
    <x v="1"/>
    <n v="10716322"/>
    <n v="131957"/>
  </r>
  <r>
    <s v="Grenada"/>
    <x v="4"/>
    <n v="112003"/>
    <n v="348.5"/>
  </r>
  <r>
    <s v="Guatemala"/>
    <x v="4"/>
    <n v="16604026"/>
    <n v="108889"/>
  </r>
  <r>
    <s v="Guinea"/>
    <x v="3"/>
    <n v="12771246"/>
    <n v="245857"/>
  </r>
  <r>
    <s v="Guinea-Bissau"/>
    <x v="3"/>
    <n v="1920922"/>
    <n v="36125"/>
  </r>
  <r>
    <s v="Guyana"/>
    <x v="4"/>
    <n v="782766"/>
    <n v="214969"/>
  </r>
  <r>
    <s v="Haiti"/>
    <x v="4"/>
    <n v="11263077"/>
    <n v="27750"/>
  </r>
  <r>
    <s v="Honduras"/>
    <x v="4"/>
    <n v="9746117"/>
    <n v="112090"/>
  </r>
  <r>
    <s v="Hong Kong SAR, China"/>
    <x v="5"/>
    <n v="7507400"/>
    <n v="1108"/>
  </r>
  <r>
    <s v="Hungary"/>
    <x v="1"/>
    <n v="9769949"/>
    <n v="93028"/>
  </r>
  <r>
    <s v="Iceland"/>
    <x v="1"/>
    <n v="361313"/>
    <n v="103000"/>
  </r>
  <r>
    <s v="India"/>
    <x v="0"/>
    <n v="1366417754"/>
    <n v="3287263"/>
  </r>
  <r>
    <s v="Indonesia"/>
    <x v="5"/>
    <n v="270625568"/>
    <n v="1904569"/>
  </r>
  <r>
    <s v="Iraq"/>
    <x v="2"/>
    <n v="39309783"/>
    <n v="438317"/>
  </r>
  <r>
    <s v="Ireland"/>
    <x v="1"/>
    <n v="4941444"/>
    <n v="70273"/>
  </r>
  <r>
    <s v="Israel"/>
    <x v="2"/>
    <n v="9053300"/>
    <n v="20770"/>
  </r>
  <r>
    <s v="Italy"/>
    <x v="1"/>
    <n v="60297396"/>
    <n v="301340"/>
  </r>
  <r>
    <s v="Jamaica"/>
    <x v="4"/>
    <n v="2948279"/>
    <n v="10991"/>
  </r>
  <r>
    <s v="Japan"/>
    <x v="5"/>
    <n v="126264931"/>
    <n v="377944"/>
  </r>
  <r>
    <s v="Jordan"/>
    <x v="2"/>
    <n v="10101694"/>
    <n v="89342"/>
  </r>
  <r>
    <s v="Kazakhstan"/>
    <x v="1"/>
    <n v="18513930"/>
    <n v="2724900"/>
  </r>
  <r>
    <s v="Kenya"/>
    <x v="3"/>
    <n v="52573973"/>
    <n v="580367"/>
  </r>
  <r>
    <s v="Kiribati"/>
    <x v="5"/>
    <n v="117606"/>
    <n v="811"/>
  </r>
  <r>
    <s v="Korea, Rep."/>
    <x v="5"/>
    <n v="51709098"/>
    <n v="99720"/>
  </r>
  <r>
    <s v="Kuwait"/>
    <x v="2"/>
    <n v="4207083"/>
    <n v="17818"/>
  </r>
  <r>
    <s v="Kyrgyz Republic"/>
    <x v="1"/>
    <n v="6456900"/>
    <n v="199951"/>
  </r>
  <r>
    <s v="Latvia"/>
    <x v="1"/>
    <n v="1912789"/>
    <n v="64589"/>
  </r>
  <r>
    <s v="Lebanon"/>
    <x v="2"/>
    <n v="6855713"/>
    <n v="10400"/>
  </r>
  <r>
    <s v="Lesotho"/>
    <x v="3"/>
    <n v="2125268"/>
    <n v="30355"/>
  </r>
  <r>
    <s v="Liberia"/>
    <x v="3"/>
    <n v="4937374"/>
    <n v="111369"/>
  </r>
  <r>
    <s v="Libya"/>
    <x v="2"/>
    <n v="6777452"/>
    <n v="1759540"/>
  </r>
  <r>
    <s v="Lithuania"/>
    <x v="1"/>
    <n v="2786844"/>
    <n v="65300"/>
  </r>
  <r>
    <s v="Luxembourg"/>
    <x v="1"/>
    <n v="619896"/>
    <n v="2586"/>
  </r>
  <r>
    <s v="Macao SAR, China"/>
    <x v="5"/>
    <n v="696100"/>
    <n v="28.2"/>
  </r>
  <r>
    <s v="Madagascar"/>
    <x v="3"/>
    <n v="26969307"/>
    <n v="587041"/>
  </r>
  <r>
    <s v="Malawi"/>
    <x v="3"/>
    <n v="18628747"/>
    <n v="118484"/>
  </r>
  <r>
    <s v="Malaysia"/>
    <x v="5"/>
    <n v="31949777"/>
    <n v="329847"/>
  </r>
  <r>
    <s v="Maldives"/>
    <x v="0"/>
    <n v="530953"/>
    <n v="298"/>
  </r>
  <r>
    <s v="Mali"/>
    <x v="3"/>
    <n v="19658031"/>
    <n v="1240192"/>
  </r>
  <r>
    <s v="Malta"/>
    <x v="2"/>
    <n v="502653"/>
    <n v="316"/>
  </r>
  <r>
    <s v="Marshall Islands"/>
    <x v="5"/>
    <n v="58791"/>
    <n v="181"/>
  </r>
  <r>
    <s v="Mauritania"/>
    <x v="3"/>
    <n v="4525696"/>
    <n v="1030700"/>
  </r>
  <r>
    <s v="Mauritius"/>
    <x v="3"/>
    <n v="1265711"/>
    <n v="2040"/>
  </r>
  <r>
    <s v="Mexico"/>
    <x v="4"/>
    <n v="127575529"/>
    <n v="1964375"/>
  </r>
  <r>
    <s v="Moldova"/>
    <x v="1"/>
    <n v="2657637"/>
    <n v="33851"/>
  </r>
  <r>
    <s v="Mongolia"/>
    <x v="5"/>
    <n v="3225167"/>
    <n v="1564116"/>
  </r>
  <r>
    <s v="Montenegro"/>
    <x v="1"/>
    <n v="622137"/>
    <n v="13812"/>
  </r>
  <r>
    <s v="Morocco"/>
    <x v="2"/>
    <n v="36471769"/>
    <n v="446550"/>
  </r>
  <r>
    <s v="Mozambique"/>
    <x v="3"/>
    <n v="30366036"/>
    <n v="799380"/>
  </r>
  <r>
    <s v="Myanmar"/>
    <x v="5"/>
    <n v="54045420"/>
    <n v="676578"/>
  </r>
  <r>
    <s v="Namibia"/>
    <x v="3"/>
    <n v="2494530"/>
    <n v="824292"/>
  </r>
  <r>
    <s v="Nepal"/>
    <x v="0"/>
    <n v="28608710"/>
    <n v="147181"/>
  </r>
  <r>
    <s v="Netherlands"/>
    <x v="1"/>
    <n v="17332850"/>
    <n v="41543"/>
  </r>
  <r>
    <s v="New Zealand"/>
    <x v="5"/>
    <n v="4699755"/>
    <n v="268838"/>
  </r>
  <r>
    <s v="Nicaragua"/>
    <x v="4"/>
    <n v="6545502"/>
    <n v="130370"/>
  </r>
  <r>
    <s v="Niger"/>
    <x v="3"/>
    <n v="23310715"/>
    <n v="1267000"/>
  </r>
  <r>
    <s v="Nigeria"/>
    <x v="3"/>
    <n v="200963599"/>
    <n v="923768"/>
  </r>
  <r>
    <s v="North Macedonia"/>
    <x v="1"/>
    <n v="2107158"/>
    <n v="25713"/>
  </r>
  <r>
    <s v="Norway"/>
    <x v="1"/>
    <n v="5347896"/>
    <n v="323802"/>
  </r>
  <r>
    <s v="Oman"/>
    <x v="2"/>
    <n v="4974986"/>
    <n v="309500"/>
  </r>
  <r>
    <s v="Pakistan"/>
    <x v="0"/>
    <n v="216565318"/>
    <n v="796095"/>
  </r>
  <r>
    <s v="Palau"/>
    <x v="5"/>
    <n v="18008"/>
    <n v="459"/>
  </r>
  <r>
    <s v="Panama"/>
    <x v="4"/>
    <n v="4246439"/>
    <n v="75420"/>
  </r>
  <r>
    <s v="Papua New Guinea"/>
    <x v="5"/>
    <n v="8776109"/>
    <n v="462840"/>
  </r>
  <r>
    <s v="Paraguay"/>
    <x v="4"/>
    <n v="7044636"/>
    <n v="406752"/>
  </r>
  <r>
    <s v="Peru"/>
    <x v="4"/>
    <n v="32510453"/>
    <n v="1285216"/>
  </r>
  <r>
    <s v="Philippines"/>
    <x v="5"/>
    <n v="108116615"/>
    <n v="300000"/>
  </r>
  <r>
    <s v="Poland"/>
    <x v="1"/>
    <n v="37970874"/>
    <n v="312685"/>
  </r>
  <r>
    <s v="Portugal"/>
    <x v="1"/>
    <n v="10269417"/>
    <n v="92212"/>
  </r>
  <r>
    <s v="Puerto Rico"/>
    <x v="4"/>
    <n v="3193694"/>
    <n v="13791"/>
  </r>
  <r>
    <s v="Qatar"/>
    <x v="2"/>
    <n v="2832067"/>
    <n v="11586"/>
  </r>
  <r>
    <s v="Romania"/>
    <x v="1"/>
    <n v="19356544"/>
    <n v="238391"/>
  </r>
  <r>
    <s v="Russian Federation"/>
    <x v="1"/>
    <n v="144373535"/>
    <n v="17098240"/>
  </r>
  <r>
    <s v="Rwanda"/>
    <x v="3"/>
    <n v="12626950"/>
    <n v="26338"/>
  </r>
  <r>
    <s v="Samoa"/>
    <x v="5"/>
    <n v="202506"/>
    <n v="2831"/>
  </r>
  <r>
    <s v="Sao Tome and Principe"/>
    <x v="3"/>
    <n v="215056"/>
    <n v="964"/>
  </r>
  <r>
    <s v="Saudi Arabia"/>
    <x v="2"/>
    <n v="34268528"/>
    <n v="2149690"/>
  </r>
  <r>
    <s v="Senegal"/>
    <x v="3"/>
    <n v="16296364"/>
    <n v="196722"/>
  </r>
  <r>
    <s v="Serbia"/>
    <x v="1"/>
    <n v="6944975"/>
    <n v="77474"/>
  </r>
  <r>
    <s v="Seychelles"/>
    <x v="3"/>
    <n v="97625"/>
    <n v="455"/>
  </r>
  <r>
    <s v="Sierra Leone"/>
    <x v="3"/>
    <n v="7813215"/>
    <n v="71740"/>
  </r>
  <r>
    <s v="Singapore"/>
    <x v="5"/>
    <n v="5703569"/>
    <n v="716.1"/>
  </r>
  <r>
    <s v="Slovak Republic"/>
    <x v="1"/>
    <n v="5454073"/>
    <n v="49035"/>
  </r>
  <r>
    <s v="Slovenia"/>
    <x v="1"/>
    <n v="2087946"/>
    <n v="20273"/>
  </r>
  <r>
    <s v="Solomon Islands"/>
    <x v="5"/>
    <n v="669823"/>
    <n v="28896"/>
  </r>
  <r>
    <s v="Somalia"/>
    <x v="3"/>
    <n v="15442905"/>
    <n v="637657"/>
  </r>
  <r>
    <s v="South Africa"/>
    <x v="3"/>
    <n v="58558270"/>
    <n v="1219090"/>
  </r>
  <r>
    <s v="Spain"/>
    <x v="1"/>
    <n v="47076781"/>
    <n v="505370"/>
  </r>
  <r>
    <s v="Sri Lanka"/>
    <x v="0"/>
    <n v="21803000"/>
    <n v="65610"/>
  </r>
  <r>
    <s v="St. Kitts and Nevis"/>
    <x v="4"/>
    <n v="52823"/>
    <n v="261"/>
  </r>
  <r>
    <s v="St. Lucia"/>
    <x v="4"/>
    <n v="182790"/>
    <n v="616"/>
  </r>
  <r>
    <s v="St. Vincent and the Grenadines"/>
    <x v="4"/>
    <n v="110589"/>
    <n v="389"/>
  </r>
  <r>
    <s v="Suriname"/>
    <x v="4"/>
    <n v="581372"/>
    <n v="163820"/>
  </r>
  <r>
    <s v="Sweden"/>
    <x v="1"/>
    <n v="10285453"/>
    <n v="450295"/>
  </r>
  <r>
    <s v="Switzerland"/>
    <x v="1"/>
    <n v="8574832"/>
    <n v="41277"/>
  </r>
  <r>
    <s v="Tajikistan"/>
    <x v="1"/>
    <n v="9321018"/>
    <n v="144100"/>
  </r>
  <r>
    <s v="Tanzania"/>
    <x v="3"/>
    <n v="58005463"/>
    <n v="947300"/>
  </r>
  <r>
    <s v="Thailand"/>
    <x v="5"/>
    <n v="69625582"/>
    <n v="513120"/>
  </r>
  <r>
    <s v="Timor-Leste"/>
    <x v="5"/>
    <n v="3500000"/>
    <n v="14874"/>
  </r>
  <r>
    <s v="Togo"/>
    <x v="3"/>
    <n v="8082366"/>
    <n v="56785"/>
  </r>
  <r>
    <s v="Tonga"/>
    <x v="5"/>
    <n v="104494"/>
    <n v="747"/>
  </r>
  <r>
    <s v="Trinidad and Tobago"/>
    <x v="4"/>
    <n v="1394973"/>
    <n v="5128"/>
  </r>
  <r>
    <s v="Tunisia"/>
    <x v="2"/>
    <n v="11694719"/>
    <n v="163610"/>
  </r>
  <r>
    <s v="Turkey"/>
    <x v="1"/>
    <n v="83429615"/>
    <n v="783562"/>
  </r>
  <r>
    <s v="Turkmenistan"/>
    <x v="1"/>
    <n v="5942089"/>
    <n v="488100"/>
  </r>
  <r>
    <s v="Turks and Caicos Islands"/>
    <x v="4"/>
    <n v="42953"/>
    <n v="948"/>
  </r>
  <r>
    <s v="Tuvalu"/>
    <x v="5"/>
    <n v="11646"/>
    <n v="26"/>
  </r>
  <r>
    <s v="Uganda"/>
    <x v="3"/>
    <n v="44269594"/>
    <n v="241038"/>
  </r>
  <r>
    <s v="Ukraine"/>
    <x v="1"/>
    <n v="44385155"/>
    <n v="603550"/>
  </r>
  <r>
    <s v="United Arab Emirates"/>
    <x v="2"/>
    <n v="9770529"/>
    <n v="83600"/>
  </r>
  <r>
    <s v="United Kingdom"/>
    <x v="1"/>
    <n v="66834405"/>
    <n v="243610"/>
  </r>
  <r>
    <s v="United States"/>
    <x v="6"/>
    <n v="328239523"/>
    <n v="9833517"/>
  </r>
  <r>
    <s v="Uruguay"/>
    <x v="4"/>
    <n v="3461734"/>
    <n v="176215"/>
  </r>
  <r>
    <s v="Uzbekistan"/>
    <x v="1"/>
    <n v="33580650"/>
    <n v="447400"/>
  </r>
  <r>
    <s v="Vanuatu"/>
    <x v="5"/>
    <n v="299882"/>
    <n v="12189"/>
  </r>
  <r>
    <s v="Vietnam"/>
    <x v="5"/>
    <n v="96462106"/>
    <n v="331210"/>
  </r>
  <r>
    <s v="Yemen, Rep."/>
    <x v="2"/>
    <n v="29161922"/>
    <n v="527968"/>
  </r>
  <r>
    <s v="Zambia"/>
    <x v="3"/>
    <n v="17861030"/>
    <n v="752618"/>
  </r>
  <r>
    <s v="Zimbabwe"/>
    <x v="3"/>
    <n v="14645468"/>
    <n v="39075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d v="2020-01-01T00:00:00"/>
    <d v="1899-12-30T02:24:00"/>
    <s v="Bronx"/>
    <x v="0"/>
    <s v="Taxi"/>
    <n v="3"/>
  </r>
  <r>
    <d v="2020-01-03T00:00:00"/>
    <d v="1899-12-30T05:20:00"/>
    <s v="Manhattan"/>
    <x v="0"/>
    <s v="Pick-up Truck"/>
    <n v="1"/>
  </r>
  <r>
    <d v="2020-01-04T00:00:00"/>
    <d v="1899-12-30T04:42:00"/>
    <s v="Manhattan"/>
    <x v="0"/>
    <s v="Sedan"/>
    <n v="0"/>
  </r>
  <r>
    <d v="2020-01-05T00:00:00"/>
    <d v="1899-12-30T06:48:00"/>
    <s v="Bronx"/>
    <x v="1"/>
    <s v="Sedan"/>
    <n v="2"/>
  </r>
  <r>
    <d v="2020-01-05T00:00:00"/>
    <d v="1899-12-30T08:00:00"/>
    <s v="Queens"/>
    <x v="2"/>
    <s v="Taxi"/>
    <n v="0"/>
  </r>
  <r>
    <d v="2020-01-05T00:00:00"/>
    <d v="1899-12-30T17:05:00"/>
    <s v="Manhattan"/>
    <x v="3"/>
    <s v="Sedan"/>
    <n v="0"/>
  </r>
  <r>
    <d v="2020-01-07T00:00:00"/>
    <d v="1899-12-30T21:00:00"/>
    <s v="Brooklyn"/>
    <x v="4"/>
    <s v="Sedan"/>
    <n v="0"/>
  </r>
  <r>
    <d v="2020-01-08T00:00:00"/>
    <d v="1899-12-30T18:00:00"/>
    <s v="Brooklyn"/>
    <x v="0"/>
    <s v="Sedan"/>
    <n v="0"/>
  </r>
  <r>
    <d v="2020-01-08T00:00:00"/>
    <d v="1899-12-30T22:39:00"/>
    <s v="Bronx"/>
    <x v="3"/>
    <s v="Sedan"/>
    <n v="0"/>
  </r>
  <r>
    <d v="2020-01-09T00:00:00"/>
    <d v="1899-12-30T00:02:00"/>
    <s v="Manhattan"/>
    <x v="1"/>
    <s v="Sedan"/>
    <n v="1"/>
  </r>
  <r>
    <d v="2020-01-09T00:00:00"/>
    <d v="1899-12-30T14:00:00"/>
    <s v="Manhattan"/>
    <x v="0"/>
    <s v="Bike"/>
    <n v="0"/>
  </r>
  <r>
    <d v="2020-01-10T00:00:00"/>
    <d v="1899-12-30T13:10:00"/>
    <s v="Manhattan"/>
    <x v="5"/>
    <s v="Van"/>
    <n v="0"/>
  </r>
  <r>
    <d v="2020-01-10T00:00:00"/>
    <d v="1899-12-30T20:25:00"/>
    <s v="Queens"/>
    <x v="0"/>
    <s v="Bike"/>
    <n v="1"/>
  </r>
  <r>
    <d v="2020-01-10T00:00:00"/>
    <d v="1899-12-30T20:31:00"/>
    <s v="Manhattan"/>
    <x v="0"/>
    <s v="Taxi"/>
    <n v="0"/>
  </r>
  <r>
    <d v="2020-01-10T00:00:00"/>
    <d v="1899-12-30T23:36:00"/>
    <s v="Brooklyn"/>
    <x v="0"/>
    <s v="Sedan"/>
    <n v="0"/>
  </r>
  <r>
    <d v="2020-01-11T00:00:00"/>
    <d v="1899-12-30T11:20:00"/>
    <s v="Queens"/>
    <x v="0"/>
    <s v="Taxi"/>
    <n v="1"/>
  </r>
  <r>
    <d v="2020-01-12T00:00:00"/>
    <d v="1899-12-30T17:05:00"/>
    <s v="Manhattan"/>
    <x v="0"/>
    <s v="Sedan"/>
    <n v="0"/>
  </r>
  <r>
    <d v="2020-01-12T00:00:00"/>
    <d v="1899-12-30T19:00:00"/>
    <s v="Queens"/>
    <x v="0"/>
    <s v="Sedan"/>
    <n v="0"/>
  </r>
  <r>
    <d v="2020-01-13T00:00:00"/>
    <d v="1899-12-30T01:40:00"/>
    <s v="Queens"/>
    <x v="6"/>
    <s v="Taxi"/>
    <n v="1"/>
  </r>
  <r>
    <d v="2020-01-14T00:00:00"/>
    <d v="1899-12-30T07:20:00"/>
    <s v="Bronx"/>
    <x v="3"/>
    <s v="Sedan"/>
    <n v="0"/>
  </r>
  <r>
    <d v="2020-01-14T00:00:00"/>
    <d v="1899-12-30T13:49:00"/>
    <s v="Queens"/>
    <x v="5"/>
    <s v="Sedan"/>
    <n v="0"/>
  </r>
  <r>
    <d v="2020-01-15T00:00:00"/>
    <d v="1899-12-30T19:32:00"/>
    <s v="Manhattan"/>
    <x v="5"/>
    <s v="E-Bike"/>
    <n v="1"/>
  </r>
  <r>
    <d v="2020-01-15T00:00:00"/>
    <d v="1899-12-30T19:45:00"/>
    <s v="Queens"/>
    <x v="0"/>
    <s v="Sedan"/>
    <n v="1"/>
  </r>
  <r>
    <d v="2020-01-16T00:00:00"/>
    <d v="1899-12-30T11:15:00"/>
    <s v="Queens"/>
    <x v="3"/>
    <s v="Sedan"/>
    <n v="0"/>
  </r>
  <r>
    <d v="2020-01-16T00:00:00"/>
    <d v="1899-12-30T12:35:00"/>
    <s v="Manhattan"/>
    <x v="0"/>
    <s v="Sedan"/>
    <n v="0"/>
  </r>
  <r>
    <d v="2020-01-16T00:00:00"/>
    <d v="1899-12-30T15:29:00"/>
    <s v="Bronx"/>
    <x v="7"/>
    <s v="Sedan"/>
    <n v="0"/>
  </r>
  <r>
    <d v="2020-01-19T00:00:00"/>
    <d v="1899-12-30T05:07:00"/>
    <s v="Bronx"/>
    <x v="3"/>
    <s v="Taxi"/>
    <n v="0"/>
  </r>
  <r>
    <d v="2020-01-19T00:00:00"/>
    <d v="1899-12-30T15:30:00"/>
    <s v="Manhattan"/>
    <x v="0"/>
    <s v="Sedan"/>
    <n v="0"/>
  </r>
  <r>
    <d v="2020-01-21T00:00:00"/>
    <d v="1899-12-30T11:30:00"/>
    <s v="Manhattan"/>
    <x v="0"/>
    <s v="Bike"/>
    <n v="0"/>
  </r>
  <r>
    <d v="2020-01-22T00:00:00"/>
    <d v="1899-12-30T04:30:00"/>
    <s v="Manhattan"/>
    <x v="3"/>
    <s v="Sedan"/>
    <n v="0"/>
  </r>
  <r>
    <d v="2020-01-22T00:00:00"/>
    <d v="1899-12-30T18:25:00"/>
    <s v="Manhattan"/>
    <x v="0"/>
    <s v="Taxi"/>
    <n v="0"/>
  </r>
  <r>
    <d v="2020-01-22T00:00:00"/>
    <d v="1899-12-30T19:42:00"/>
    <s v="Manhattan"/>
    <x v="0"/>
    <s v="Sedan"/>
    <n v="0"/>
  </r>
  <r>
    <d v="2020-01-23T00:00:00"/>
    <d v="1899-12-30T08:22:00"/>
    <s v="Manhattan"/>
    <x v="0"/>
    <s v="Sedan"/>
    <n v="0"/>
  </r>
  <r>
    <d v="2020-01-24T00:00:00"/>
    <d v="1899-12-30T22:10:00"/>
    <s v="Manhattan"/>
    <x v="0"/>
    <s v="Taxi"/>
    <n v="0"/>
  </r>
  <r>
    <d v="2020-01-24T00:00:00"/>
    <d v="1899-12-30T23:55:00"/>
    <s v="Manhattan"/>
    <x v="4"/>
    <s v="Sedan"/>
    <n v="0"/>
  </r>
  <r>
    <d v="2020-01-25T00:00:00"/>
    <d v="1899-12-30T16:39:00"/>
    <s v="Bronx"/>
    <x v="3"/>
    <s v="Taxi"/>
    <n v="0"/>
  </r>
  <r>
    <d v="2020-01-27T00:00:00"/>
    <d v="1899-12-30T15:50:00"/>
    <s v="Manhattan"/>
    <x v="0"/>
    <s v="Bike"/>
    <n v="1"/>
  </r>
  <r>
    <d v="2020-01-28T00:00:00"/>
    <d v="1899-12-30T08:10:00"/>
    <s v="Manhattan"/>
    <x v="8"/>
    <s v="Pick-up Truck"/>
    <n v="0"/>
  </r>
  <r>
    <d v="2020-01-28T00:00:00"/>
    <d v="1899-12-30T18:41:00"/>
    <s v="Manhattan"/>
    <x v="0"/>
    <s v="Taxi"/>
    <n v="0"/>
  </r>
  <r>
    <d v="2020-01-29T00:00:00"/>
    <d v="1899-12-30T19:35:00"/>
    <s v="Manhattan"/>
    <x v="0"/>
    <s v="Box Truck"/>
    <n v="0"/>
  </r>
  <r>
    <d v="2020-02-01T00:00:00"/>
    <d v="1899-12-30T00:24:00"/>
    <s v="Brooklyn"/>
    <x v="0"/>
    <s v="Taxi"/>
    <n v="1"/>
  </r>
  <r>
    <d v="2020-02-01T00:00:00"/>
    <d v="1899-12-30T09:55:00"/>
    <s v="Manhattan"/>
    <x v="0"/>
    <s v="Taxi"/>
    <n v="0"/>
  </r>
  <r>
    <d v="2020-02-02T00:00:00"/>
    <d v="1899-12-30T02:00:00"/>
    <s v="Manhattan"/>
    <x v="4"/>
    <s v="Taxi"/>
    <n v="0"/>
  </r>
  <r>
    <d v="2020-02-02T00:00:00"/>
    <d v="1899-12-30T14:30:00"/>
    <s v="Manhattan"/>
    <x v="8"/>
    <s v="Taxi"/>
    <n v="0"/>
  </r>
  <r>
    <d v="2020-02-02T00:00:00"/>
    <d v="1899-12-30T16:16:00"/>
    <s v="Manhattan"/>
    <x v="0"/>
    <s v="Sedan"/>
    <n v="0"/>
  </r>
  <r>
    <d v="2020-02-03T00:00:00"/>
    <d v="1899-12-30T23:33:00"/>
    <s v="Queens"/>
    <x v="0"/>
    <s v="Sedan"/>
    <n v="0"/>
  </r>
  <r>
    <d v="2020-02-04T00:00:00"/>
    <d v="1899-12-30T18:20:00"/>
    <s v="Manhattan"/>
    <x v="6"/>
    <s v="Bus"/>
    <n v="0"/>
  </r>
  <r>
    <d v="2020-02-05T00:00:00"/>
    <d v="1899-12-30T09:30:00"/>
    <s v="Bronx"/>
    <x v="9"/>
    <s v="Taxi"/>
    <n v="1"/>
  </r>
  <r>
    <d v="2020-02-06T00:00:00"/>
    <d v="1899-12-30T12:00:00"/>
    <s v="Manhattan"/>
    <x v="0"/>
    <s v="Sedan"/>
    <n v="0"/>
  </r>
  <r>
    <d v="2020-02-06T00:00:00"/>
    <d v="1899-12-30T18:06:00"/>
    <s v="Bronx"/>
    <x v="0"/>
    <s v="Taxi"/>
    <n v="0"/>
  </r>
  <r>
    <d v="2020-02-06T00:00:00"/>
    <d v="1899-12-30T20:55:00"/>
    <s v="Manhattan"/>
    <x v="0"/>
    <s v="Bike"/>
    <n v="1"/>
  </r>
  <r>
    <d v="2020-02-06T00:00:00"/>
    <d v="1899-12-30T23:30:00"/>
    <s v="Manhattan"/>
    <x v="5"/>
    <s v="Sedan"/>
    <n v="0"/>
  </r>
  <r>
    <d v="2020-02-07T00:00:00"/>
    <d v="1899-12-30T13:12:00"/>
    <s v="Manhattan"/>
    <x v="0"/>
    <s v="Sedan"/>
    <n v="0"/>
  </r>
  <r>
    <d v="2020-02-07T00:00:00"/>
    <d v="1899-12-30T19:45:00"/>
    <s v="Manhattan"/>
    <x v="3"/>
    <s v="Taxi"/>
    <n v="0"/>
  </r>
  <r>
    <d v="2020-02-08T00:00:00"/>
    <d v="1899-12-30T17:20:00"/>
    <s v="Bronx"/>
    <x v="10"/>
    <s v="Bike"/>
    <n v="1"/>
  </r>
  <r>
    <d v="2020-02-09T00:00:00"/>
    <d v="1899-12-30T01:15:00"/>
    <s v="Manhattan"/>
    <x v="5"/>
    <s v="Taxi"/>
    <n v="0"/>
  </r>
  <r>
    <d v="2020-02-09T00:00:00"/>
    <d v="1899-12-30T14:55:00"/>
    <s v="Brooklyn"/>
    <x v="0"/>
    <s v="Taxi"/>
    <n v="0"/>
  </r>
  <r>
    <d v="2020-02-10T00:00:00"/>
    <d v="1899-12-30T01:10:00"/>
    <s v="Manhattan"/>
    <x v="0"/>
    <s v="Taxi"/>
    <n v="0"/>
  </r>
  <r>
    <d v="2020-02-10T00:00:00"/>
    <d v="1899-12-30T09:00:00"/>
    <s v="Bronx"/>
    <x v="3"/>
    <s v="Taxi"/>
    <n v="0"/>
  </r>
  <r>
    <d v="2020-02-12T00:00:00"/>
    <d v="1899-12-30T10:47:00"/>
    <s v="Manhattan"/>
    <x v="0"/>
    <s v="Taxi"/>
    <n v="0"/>
  </r>
  <r>
    <d v="2020-02-12T00:00:00"/>
    <d v="1899-12-30T21:16:00"/>
    <s v="Manhattan"/>
    <x v="0"/>
    <s v="Pick-up Truck"/>
    <n v="0"/>
  </r>
  <r>
    <d v="2020-02-13T00:00:00"/>
    <d v="1899-12-30T15:10:00"/>
    <s v="Manhattan"/>
    <x v="4"/>
    <s v="Taxi"/>
    <n v="0"/>
  </r>
  <r>
    <d v="2020-02-13T00:00:00"/>
    <d v="1899-12-30T20:02:00"/>
    <s v="Manhattan"/>
    <x v="0"/>
    <s v="Sedan"/>
    <n v="2"/>
  </r>
  <r>
    <d v="2020-02-14T00:00:00"/>
    <d v="1899-12-30T11:53:00"/>
    <s v="Manhattan"/>
    <x v="11"/>
    <s v="Taxi"/>
    <n v="0"/>
  </r>
  <r>
    <d v="2020-02-14T00:00:00"/>
    <d v="1899-12-30T15:45:00"/>
    <s v="Queens"/>
    <x v="0"/>
    <s v="Sedan"/>
    <n v="0"/>
  </r>
  <r>
    <d v="2020-02-15T00:00:00"/>
    <d v="1899-12-30T00:47:00"/>
    <s v="Manhattan"/>
    <x v="4"/>
    <s v="Taxi"/>
    <n v="0"/>
  </r>
  <r>
    <d v="2020-02-15T00:00:00"/>
    <d v="1899-12-30T13:46:00"/>
    <s v="Brooklyn"/>
    <x v="5"/>
    <s v="Sedan"/>
    <n v="0"/>
  </r>
  <r>
    <d v="2020-02-19T00:00:00"/>
    <d v="1899-12-30T00:00:00"/>
    <s v="Manhattan"/>
    <x v="4"/>
    <s v="Bike"/>
    <n v="0"/>
  </r>
  <r>
    <d v="2020-02-19T00:00:00"/>
    <d v="1899-12-30T12:30:00"/>
    <s v="Brooklyn"/>
    <x v="3"/>
    <s v="Sedan"/>
    <n v="0"/>
  </r>
  <r>
    <d v="2020-02-19T00:00:00"/>
    <d v="1899-12-30T16:55:00"/>
    <s v="Queens"/>
    <x v="0"/>
    <s v="Sedan"/>
    <n v="0"/>
  </r>
  <r>
    <d v="2020-02-22T00:00:00"/>
    <d v="1899-12-30T21:29:00"/>
    <s v="Manhattan"/>
    <x v="3"/>
    <s v="Sedan"/>
    <n v="0"/>
  </r>
  <r>
    <d v="2020-02-24T00:00:00"/>
    <d v="1899-12-30T11:41:00"/>
    <s v="Manhattan"/>
    <x v="11"/>
    <s v="Sedan"/>
    <n v="0"/>
  </r>
  <r>
    <d v="2020-02-25T00:00:00"/>
    <d v="1899-12-30T11:39:00"/>
    <s v="Queens"/>
    <x v="0"/>
    <s v="Taxi"/>
    <n v="0"/>
  </r>
  <r>
    <d v="2020-02-26T00:00:00"/>
    <d v="1899-12-30T08:50:00"/>
    <s v="Manhattan"/>
    <x v="0"/>
    <s v="Sedan"/>
    <n v="0"/>
  </r>
  <r>
    <d v="2020-02-26T00:00:00"/>
    <d v="1899-12-30T10:30:00"/>
    <s v="Manhattan"/>
    <x v="5"/>
    <s v="Pick-up Truck"/>
    <n v="0"/>
  </r>
  <r>
    <d v="2020-02-27T00:00:00"/>
    <d v="1899-12-30T10:15:00"/>
    <s v="Manhattan"/>
    <x v="0"/>
    <s v="Sedan"/>
    <n v="0"/>
  </r>
  <r>
    <d v="2020-02-27T00:00:00"/>
    <d v="1899-12-30T21:30:00"/>
    <s v="Manhattan"/>
    <x v="3"/>
    <s v="Taxi"/>
    <n v="0"/>
  </r>
  <r>
    <d v="2020-02-28T00:00:00"/>
    <d v="1899-12-30T12:41:00"/>
    <s v="Bronx"/>
    <x v="0"/>
    <s v="Sedan"/>
    <n v="0"/>
  </r>
  <r>
    <d v="2020-02-28T00:00:00"/>
    <d v="1899-12-30T17:30:00"/>
    <s v="Manhattan"/>
    <x v="3"/>
    <s v="Taxi"/>
    <n v="0"/>
  </r>
  <r>
    <d v="2020-02-28T00:00:00"/>
    <d v="1899-12-30T20:00:00"/>
    <s v="Queens"/>
    <x v="0"/>
    <s v="Sedan"/>
    <n v="0"/>
  </r>
  <r>
    <d v="2020-02-29T00:00:00"/>
    <d v="1899-12-30T02:10:00"/>
    <s v="Brooklyn"/>
    <x v="0"/>
    <s v="Sedan"/>
    <n v="0"/>
  </r>
  <r>
    <d v="2020-02-29T00:00:00"/>
    <d v="1899-12-30T15:53:00"/>
    <s v="Manhattan"/>
    <x v="0"/>
    <s v="Bike"/>
    <n v="0"/>
  </r>
  <r>
    <d v="2020-02-29T00:00:00"/>
    <d v="1899-12-30T23:10:00"/>
    <s v="Manhattan"/>
    <x v="0"/>
    <s v="Taxi"/>
    <n v="0"/>
  </r>
  <r>
    <d v="2020-03-01T00:00:00"/>
    <d v="1899-12-30T01:54:00"/>
    <s v="Manhattan"/>
    <x v="0"/>
    <s v="Sedan"/>
    <n v="0"/>
  </r>
  <r>
    <d v="2020-03-01T00:00:00"/>
    <d v="1899-12-30T19:18:00"/>
    <s v="Bronx"/>
    <x v="5"/>
    <s v="Pick-up Truck"/>
    <n v="0"/>
  </r>
  <r>
    <d v="2020-03-01T00:00:00"/>
    <d v="1899-12-30T20:10:00"/>
    <s v="Queens"/>
    <x v="4"/>
    <s v="Sedan"/>
    <n v="0"/>
  </r>
  <r>
    <d v="2020-03-01T00:00:00"/>
    <d v="1899-12-30T22:00:00"/>
    <s v="Manhattan"/>
    <x v="0"/>
    <s v="Taxi"/>
    <n v="0"/>
  </r>
  <r>
    <d v="2020-03-02T00:00:00"/>
    <d v="1899-12-30T11:31:00"/>
    <s v="Manhattan"/>
    <x v="0"/>
    <s v="Sedan"/>
    <n v="0"/>
  </r>
  <r>
    <d v="2020-03-02T00:00:00"/>
    <d v="1899-12-30T12:00:00"/>
    <s v="Manhattan"/>
    <x v="12"/>
    <s v="Van"/>
    <n v="0"/>
  </r>
  <r>
    <d v="2020-03-02T00:00:00"/>
    <d v="1899-12-30T14:50:00"/>
    <s v="Manhattan"/>
    <x v="3"/>
    <s v="Taxi"/>
    <n v="0"/>
  </r>
  <r>
    <d v="2020-03-03T00:00:00"/>
    <d v="1899-12-30T08:40:00"/>
    <s v="Brooklyn"/>
    <x v="13"/>
    <s v="Sedan"/>
    <n v="0"/>
  </r>
  <r>
    <d v="2020-03-03T00:00:00"/>
    <d v="1899-12-30T20:25:00"/>
    <s v="Manhattan"/>
    <x v="0"/>
    <s v="Taxi"/>
    <n v="0"/>
  </r>
  <r>
    <d v="2020-03-04T00:00:00"/>
    <d v="1899-12-30T00:05:00"/>
    <s v="Queens"/>
    <x v="2"/>
    <s v="Bus"/>
    <n v="0"/>
  </r>
  <r>
    <d v="2020-03-05T00:00:00"/>
    <d v="1899-12-30T11:30:00"/>
    <s v="Manhattan"/>
    <x v="4"/>
    <s v="Bus"/>
    <n v="0"/>
  </r>
  <r>
    <d v="2020-03-06T00:00:00"/>
    <d v="1899-12-30T00:32:00"/>
    <s v="Manhattan"/>
    <x v="10"/>
    <s v="Taxi"/>
    <n v="0"/>
  </r>
  <r>
    <d v="2020-03-06T00:00:00"/>
    <d v="1899-12-30T02:21:00"/>
    <s v="Manhattan"/>
    <x v="14"/>
    <s v="Box Truck"/>
    <n v="0"/>
  </r>
  <r>
    <d v="2020-03-06T00:00:00"/>
    <d v="1899-12-30T21:10:00"/>
    <s v="Queens"/>
    <x v="0"/>
    <s v="Sedan"/>
    <n v="1"/>
  </r>
  <r>
    <d v="2020-03-06T00:00:00"/>
    <d v="1899-12-30T21:35:00"/>
    <s v="Manhattan"/>
    <x v="15"/>
    <s v="Sedan"/>
    <n v="0"/>
  </r>
  <r>
    <d v="2020-03-07T00:00:00"/>
    <d v="1899-12-30T13:51:00"/>
    <s v="Manhattan"/>
    <x v="2"/>
    <s v="Sedan"/>
    <n v="0"/>
  </r>
  <r>
    <d v="2020-03-08T00:00:00"/>
    <d v="1899-12-30T03:34:00"/>
    <s v="Manhattan"/>
    <x v="3"/>
    <s v="Taxi"/>
    <n v="0"/>
  </r>
  <r>
    <d v="2020-03-08T00:00:00"/>
    <d v="1899-12-30T05:22:00"/>
    <s v="Queens"/>
    <x v="4"/>
    <s v="Sedan"/>
    <n v="0"/>
  </r>
  <r>
    <d v="2020-03-08T00:00:00"/>
    <d v="1899-12-30T20:00:00"/>
    <s v="Manhattan"/>
    <x v="13"/>
    <s v="Taxi"/>
    <n v="0"/>
  </r>
  <r>
    <d v="2020-03-08T00:00:00"/>
    <d v="1899-12-30T21:50:00"/>
    <s v="Manhattan"/>
    <x v="0"/>
    <s v="Sedan"/>
    <n v="0"/>
  </r>
  <r>
    <d v="2020-03-09T00:00:00"/>
    <d v="1899-12-30T00:29:00"/>
    <s v="Manhattan"/>
    <x v="0"/>
    <s v="Sedan"/>
    <n v="1"/>
  </r>
  <r>
    <d v="2020-03-09T00:00:00"/>
    <d v="1899-12-30T17:48:00"/>
    <s v="Bronx"/>
    <x v="5"/>
    <s v="Sedan"/>
    <n v="0"/>
  </r>
  <r>
    <d v="2020-03-10T00:00:00"/>
    <d v="1899-12-30T18:46:00"/>
    <s v="Manhattan"/>
    <x v="4"/>
    <s v="Sedan"/>
    <n v="0"/>
  </r>
  <r>
    <d v="2020-03-11T00:00:00"/>
    <d v="1899-12-30T12:44:00"/>
    <s v="Manhattan"/>
    <x v="7"/>
    <s v="Sedan"/>
    <n v="0"/>
  </r>
  <r>
    <d v="2020-03-11T00:00:00"/>
    <d v="1899-12-30T16:25:00"/>
    <s v="Manhattan"/>
    <x v="0"/>
    <s v="Sedan"/>
    <n v="0"/>
  </r>
  <r>
    <d v="2020-03-11T00:00:00"/>
    <d v="1899-12-30T17:00:00"/>
    <s v="Manhattan"/>
    <x v="3"/>
    <s v="Sedan"/>
    <n v="2"/>
  </r>
  <r>
    <d v="2020-03-11T00:00:00"/>
    <d v="1899-12-30T22:20:00"/>
    <s v="Manhattan"/>
    <x v="0"/>
    <s v="Bike"/>
    <n v="1"/>
  </r>
  <r>
    <d v="2020-03-12T00:00:00"/>
    <d v="1899-12-30T13:40:00"/>
    <s v="Bronx"/>
    <x v="0"/>
    <s v="Sedan"/>
    <n v="0"/>
  </r>
  <r>
    <d v="2020-03-12T00:00:00"/>
    <d v="1899-12-30T23:56:00"/>
    <s v="Manhattan"/>
    <x v="0"/>
    <s v="Taxi"/>
    <n v="0"/>
  </r>
  <r>
    <d v="2020-03-13T00:00:00"/>
    <d v="1899-12-30T17:18:00"/>
    <s v="Manhattan"/>
    <x v="0"/>
    <s v="Taxi"/>
    <n v="0"/>
  </r>
  <r>
    <d v="2020-03-13T00:00:00"/>
    <d v="1899-12-30T18:35:00"/>
    <s v="Manhattan"/>
    <x v="6"/>
    <s v="Bike"/>
    <n v="1"/>
  </r>
  <r>
    <d v="2020-03-14T00:00:00"/>
    <d v="1899-12-30T10:40:00"/>
    <s v="Brooklyn"/>
    <x v="16"/>
    <s v="Pick-up Truck"/>
    <n v="0"/>
  </r>
  <r>
    <d v="2020-03-14T00:00:00"/>
    <d v="1899-12-30T22:17:00"/>
    <s v="Bronx"/>
    <x v="0"/>
    <s v="E-Bike"/>
    <n v="2"/>
  </r>
  <r>
    <d v="2020-03-15T00:00:00"/>
    <d v="1899-12-30T16:40:00"/>
    <s v="Queens"/>
    <x v="0"/>
    <s v="Sedan"/>
    <n v="0"/>
  </r>
  <r>
    <d v="2020-03-16T00:00:00"/>
    <d v="1899-12-30T00:44:00"/>
    <s v="Manhattan"/>
    <x v="0"/>
    <s v="Box Truck"/>
    <n v="0"/>
  </r>
  <r>
    <d v="2020-03-20T00:00:00"/>
    <d v="1899-12-30T00:00:00"/>
    <s v="Manhattan"/>
    <x v="8"/>
    <s v="Bike"/>
    <n v="1"/>
  </r>
  <r>
    <d v="2020-03-20T00:00:00"/>
    <d v="1899-12-30T08:50:00"/>
    <s v="Manhattan"/>
    <x v="0"/>
    <s v="Sedan"/>
    <n v="1"/>
  </r>
  <r>
    <d v="2020-03-21T00:00:00"/>
    <d v="1899-12-30T15:40:00"/>
    <s v="Manhattan"/>
    <x v="11"/>
    <s v="Bus"/>
    <n v="0"/>
  </r>
  <r>
    <d v="2020-03-21T00:00:00"/>
    <d v="1899-12-30T21:00:00"/>
    <s v="Bronx"/>
    <x v="0"/>
    <s v="Sedan"/>
    <n v="0"/>
  </r>
  <r>
    <d v="2020-03-22T00:00:00"/>
    <d v="1899-12-30T09:20:00"/>
    <s v="Bronx"/>
    <x v="3"/>
    <s v="Sedan"/>
    <n v="1"/>
  </r>
  <r>
    <d v="2020-03-27T00:00:00"/>
    <d v="1899-12-30T17:37:00"/>
    <s v="Manhattan"/>
    <x v="0"/>
    <s v="E-Bike"/>
    <n v="0"/>
  </r>
  <r>
    <d v="2020-03-28T00:00:00"/>
    <d v="1899-12-30T15:00:00"/>
    <s v="Brooklyn"/>
    <x v="0"/>
    <s v="Sedan"/>
    <n v="0"/>
  </r>
  <r>
    <d v="2020-03-28T00:00:00"/>
    <d v="1899-12-30T22:20:00"/>
    <s v="Manhattan"/>
    <x v="9"/>
    <s v="Taxi"/>
    <n v="0"/>
  </r>
  <r>
    <d v="2020-04-14T00:00:00"/>
    <d v="1899-12-30T20:30:00"/>
    <s v="Brooklyn"/>
    <x v="0"/>
    <s v="Bike"/>
    <n v="1"/>
  </r>
  <r>
    <d v="2020-04-16T00:00:00"/>
    <d v="1899-12-30T12:25:00"/>
    <s v="Bronx"/>
    <x v="17"/>
    <s v="E-Scooter"/>
    <n v="1"/>
  </r>
  <r>
    <d v="2020-04-30T00:00:00"/>
    <d v="1899-12-30T06:29:00"/>
    <s v="Manhattan"/>
    <x v="0"/>
    <s v="Taxi"/>
    <n v="0"/>
  </r>
  <r>
    <d v="2020-05-02T00:00:00"/>
    <d v="1899-12-30T14:47:00"/>
    <s v="Manhattan"/>
    <x v="0"/>
    <s v="Bike"/>
    <n v="1"/>
  </r>
  <r>
    <d v="2020-05-13T00:00:00"/>
    <d v="1899-12-30T21:30:00"/>
    <s v="Bronx"/>
    <x v="3"/>
    <s v="Sedan"/>
    <n v="3"/>
  </r>
  <r>
    <d v="2020-05-13T00:00:00"/>
    <d v="1899-12-30T22:38:00"/>
    <s v="Brooklyn"/>
    <x v="5"/>
    <s v="Sedan"/>
    <n v="0"/>
  </r>
  <r>
    <d v="2020-05-16T00:00:00"/>
    <d v="1899-12-30T17:00:00"/>
    <s v="Bronx"/>
    <x v="10"/>
    <s v="Bike"/>
    <n v="1"/>
  </r>
  <r>
    <d v="2020-05-18T00:00:00"/>
    <d v="1899-12-30T15:41:00"/>
    <s v="Bronx"/>
    <x v="15"/>
    <s v="Sedan"/>
    <n v="0"/>
  </r>
  <r>
    <d v="2020-05-20T00:00:00"/>
    <d v="1899-12-30T03:43:00"/>
    <s v="Brooklyn"/>
    <x v="2"/>
    <s v="Dump"/>
    <n v="0"/>
  </r>
  <r>
    <d v="2020-05-22T00:00:00"/>
    <d v="1899-12-30T23:56:00"/>
    <s v="Brooklyn"/>
    <x v="0"/>
    <s v="Sedan"/>
    <n v="1"/>
  </r>
  <r>
    <d v="2020-05-23T00:00:00"/>
    <d v="1899-12-30T17:30:00"/>
    <s v="Queens"/>
    <x v="13"/>
    <s v="Sedan"/>
    <n v="0"/>
  </r>
  <r>
    <d v="2020-05-25T00:00:00"/>
    <d v="1899-12-30T18:55:00"/>
    <s v="Bronx"/>
    <x v="3"/>
    <s v="Sedan"/>
    <n v="0"/>
  </r>
  <r>
    <d v="2020-05-31T00:00:00"/>
    <d v="1899-12-30T00:45:00"/>
    <s v="Queens"/>
    <x v="3"/>
    <s v="Sedan"/>
    <n v="0"/>
  </r>
  <r>
    <d v="2020-05-31T00:00:00"/>
    <d v="1899-12-30T02:19:00"/>
    <s v="Brooklyn"/>
    <x v="3"/>
    <s v="Sedan"/>
    <n v="2"/>
  </r>
  <r>
    <d v="2020-06-13T00:00:00"/>
    <d v="1899-12-30T21:05:00"/>
    <s v="Manhattan"/>
    <x v="10"/>
    <s v="Bike"/>
    <n v="1"/>
  </r>
  <r>
    <d v="2020-06-16T00:00:00"/>
    <d v="1899-12-30T22:15:00"/>
    <s v="Manhattan"/>
    <x v="5"/>
    <s v="Sedan"/>
    <n v="2"/>
  </r>
  <r>
    <d v="2020-06-25T00:00:00"/>
    <d v="1899-12-30T03:37:00"/>
    <s v="Manhattan"/>
    <x v="0"/>
    <s v="Bike"/>
    <n v="1"/>
  </r>
  <r>
    <d v="2020-06-25T00:00:00"/>
    <d v="1899-12-30T21:47:00"/>
    <s v="Manhattan"/>
    <x v="0"/>
    <s v="Sedan"/>
    <n v="1"/>
  </r>
  <r>
    <d v="2020-07-01T00:00:00"/>
    <d v="1899-12-30T01:35:00"/>
    <s v="Manhattan"/>
    <x v="1"/>
    <s v="Sedan"/>
    <n v="2"/>
  </r>
  <r>
    <d v="2020-07-04T00:00:00"/>
    <d v="1899-12-30T17:08:00"/>
    <s v="Bronx"/>
    <x v="0"/>
    <s v="E-Bike"/>
    <n v="1"/>
  </r>
  <r>
    <d v="2020-07-09T00:00:00"/>
    <d v="1899-12-30T13:20:00"/>
    <s v="Brooklyn"/>
    <x v="11"/>
    <s v="Sedan"/>
    <n v="2"/>
  </r>
  <r>
    <d v="2020-07-09T00:00:00"/>
    <d v="1899-12-30T22:08:00"/>
    <s v="Manhattan"/>
    <x v="0"/>
    <s v="Sedan"/>
    <n v="5"/>
  </r>
  <r>
    <d v="2020-07-11T00:00:00"/>
    <d v="1899-12-30T22:19:00"/>
    <s v="Manhattan"/>
    <x v="10"/>
    <s v="Bike"/>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chartFormat="13">
  <location ref="A1:B14" firstHeaderRow="1" firstDataRow="1" firstDataCol="1"/>
  <pivotFields count="10">
    <pivotField compact="0" showAll="0"/>
    <pivotField compact="0" numFmtId="166"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compact="0" showAll="0"/>
    <pivotField compact="0" showAll="0"/>
    <pivotField compact="0" showAll="0"/>
    <pivotField compact="0" showAll="0"/>
    <pivotField compact="0" showAll="0"/>
    <pivotField compact="0" numFmtId="167" showAll="0"/>
    <pivotField dataField="1" compact="0" numFmtId="167" showAll="0"/>
    <pivotField axis="axisRow" compact="0"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Revenue" fld="8" baseField="0" baseItem="0" numFmtId="169"/>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068319-9CCF-427F-9241-7208F63F3690}" name="PivotTable2" cacheId="1" applyNumberFormats="0" applyBorderFormats="0" applyFontFormats="0" applyPatternFormats="0" applyAlignmentFormats="0" applyWidthHeightFormats="1" dataCaption="Values" updatedVersion="8" minRefreshableVersion="3" useAutoFormatting="1" itemPrintTitles="1" createdVersion="6" indent="0" compact="0" outline="1" outlineData="1" compactData="0" multipleFieldFilters="0">
  <location ref="A3:D11" firstHeaderRow="0" firstDataRow="1" firstDataCol="1"/>
  <pivotFields count="5">
    <pivotField compact="0" showAll="0"/>
    <pivotField axis="axisRow" compact="0" showAll="0" sortType="descending">
      <items count="8">
        <item x="3"/>
        <item x="0"/>
        <item x="6"/>
        <item x="2"/>
        <item x="4"/>
        <item x="1"/>
        <item x="5"/>
        <item t="default"/>
      </items>
      <autoSortScope>
        <pivotArea dataOnly="0" outline="0" fieldPosition="0">
          <references count="1">
            <reference field="4294967294" count="1" selected="0">
              <x v="0"/>
            </reference>
          </references>
        </pivotArea>
      </autoSortScope>
    </pivotField>
    <pivotField dataField="1" compact="0" numFmtId="3" showAll="0"/>
    <pivotField dataField="1" compact="0" numFmtId="3" showAll="0"/>
    <pivotField dataField="1" compact="0" dragToRow="0" dragToCol="0" dragToPage="0" showAll="0" defaultSubtotal="0"/>
  </pivotFields>
  <rowFields count="1">
    <field x="1"/>
  </rowFields>
  <rowItems count="8">
    <i>
      <x v="6"/>
    </i>
    <i>
      <x v="1"/>
    </i>
    <i>
      <x/>
    </i>
    <i>
      <x v="5"/>
    </i>
    <i>
      <x v="4"/>
    </i>
    <i>
      <x v="2"/>
    </i>
    <i>
      <x v="3"/>
    </i>
    <i t="grand">
      <x/>
    </i>
  </rowItems>
  <colFields count="1">
    <field x="-2"/>
  </colFields>
  <colItems count="3">
    <i>
      <x/>
    </i>
    <i i="1">
      <x v="1"/>
    </i>
    <i i="2">
      <x v="2"/>
    </i>
  </colItems>
  <dataFields count="3">
    <dataField name="Sum of Population" fld="2" baseField="0" baseItem="0" numFmtId="3"/>
    <dataField name="Sum of Area" fld="3" baseField="0" baseItem="0" numFmtId="3"/>
    <dataField name="Sum of Population Density" fld="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560AC7-C100-45DE-B936-375296B5EDC8}" name="PivotTable11" cacheId="2" applyNumberFormats="0" applyBorderFormats="0" applyFontFormats="0" applyPatternFormats="0" applyAlignmentFormats="0" applyWidthHeightFormats="1" dataCaption="Values" updatedVersion="8" minRefreshableVersion="3" useAutoFormatting="1" itemPrintTitles="1" createdVersion="6" indent="0" compact="0" outline="1" outlineData="1" compactData="0" multipleFieldFilters="0">
  <location ref="A3:B22" firstHeaderRow="1" firstDataRow="1" firstDataCol="1"/>
  <pivotFields count="6">
    <pivotField compact="0" numFmtId="166" showAll="0"/>
    <pivotField compact="0" numFmtId="21" showAll="0"/>
    <pivotField compact="0" showAll="0"/>
    <pivotField axis="axisRow" compact="0" showAll="0" sortType="descending">
      <items count="19">
        <item x="16"/>
        <item x="15"/>
        <item x="0"/>
        <item x="6"/>
        <item x="8"/>
        <item x="11"/>
        <item x="3"/>
        <item x="14"/>
        <item x="12"/>
        <item x="4"/>
        <item x="2"/>
        <item x="10"/>
        <item x="13"/>
        <item x="1"/>
        <item x="9"/>
        <item x="5"/>
        <item x="7"/>
        <item x="17"/>
        <item t="default"/>
      </items>
      <autoSortScope>
        <pivotArea dataOnly="0" outline="0" fieldPosition="0">
          <references count="1">
            <reference field="4294967294" count="1" selected="0">
              <x v="0"/>
            </reference>
          </references>
        </pivotArea>
      </autoSortScope>
    </pivotField>
    <pivotField compact="0" showAll="0"/>
    <pivotField dataField="1" compact="0" showAll="0"/>
  </pivotFields>
  <rowFields count="1">
    <field x="3"/>
  </rowFields>
  <rowItems count="19">
    <i>
      <x v="2"/>
    </i>
    <i>
      <x v="6"/>
    </i>
    <i>
      <x v="13"/>
    </i>
    <i>
      <x v="11"/>
    </i>
    <i>
      <x v="15"/>
    </i>
    <i>
      <x v="5"/>
    </i>
    <i>
      <x v="3"/>
    </i>
    <i>
      <x v="4"/>
    </i>
    <i>
      <x v="14"/>
    </i>
    <i>
      <x v="17"/>
    </i>
    <i>
      <x v="10"/>
    </i>
    <i>
      <x v="12"/>
    </i>
    <i>
      <x v="1"/>
    </i>
    <i>
      <x v="9"/>
    </i>
    <i>
      <x v="16"/>
    </i>
    <i>
      <x v="7"/>
    </i>
    <i>
      <x/>
    </i>
    <i>
      <x v="8"/>
    </i>
    <i t="grand">
      <x/>
    </i>
  </rowItems>
  <colItems count="1">
    <i/>
  </colItems>
  <dataFields count="1">
    <dataField name="Sum of # of Persons Injured" fld="5"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8BBE5F-ECE8-4F34-99F9-EB46F8EDEF64}" name="Orders" displayName="Orders" ref="A1:I201" totalsRowShown="0" headerRowDxfId="26">
  <tableColumns count="9">
    <tableColumn id="1" xr3:uid="{253DEC1F-2114-42D1-9400-718FDA8B2D69}" name="Order #" dataDxfId="25"/>
    <tableColumn id="2" xr3:uid="{3249B105-5C02-4571-B3DB-EDA39EFB7002}" name="Order Date" dataDxfId="24"/>
    <tableColumn id="3" xr3:uid="{2F3D3C83-F599-4AD6-BAF9-20FA1181D535}" name="Country"/>
    <tableColumn id="4" xr3:uid="{F029C4F8-1E85-4C9C-A395-EC8D88AAB8D6}" name="Client ID" dataDxfId="23"/>
    <tableColumn id="5" xr3:uid="{8819422A-EA97-44E3-BDAD-5AE2CA8C94FF}" name="Product ID" dataDxfId="22"/>
    <tableColumn id="6" xr3:uid="{A4197599-9FAC-4CDD-84C4-74EF858EAC34}" name="Product Name" dataDxfId="21">
      <calculatedColumnFormula>VLOOKUP(Orders[[#This Row],[Product ID]],Products[],2,0)</calculatedColumnFormula>
    </tableColumn>
    <tableColumn id="7" xr3:uid="{BD7625F2-896F-4E9E-92FC-C15CA1876863}" name="Quantity" dataDxfId="20"/>
    <tableColumn id="8" xr3:uid="{39FB4A89-48B9-4C24-8193-1D3CBAF8ECE3}" name="Unit Price" dataDxfId="19"/>
    <tableColumn id="9" xr3:uid="{12D49EA0-508E-4705-9567-F9C502883F9D}" name="Revenue" dataDxfId="1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33576D-BC45-433F-92C0-1303B33DC064}" name="Products" displayName="Products" ref="A1:B15" totalsRowShown="0" headerRowDxfId="17">
  <tableColumns count="2">
    <tableColumn id="1" xr3:uid="{C474EA5F-C83B-4834-B50F-5A975D97C746}" name="Product ID" dataDxfId="16"/>
    <tableColumn id="2" xr3:uid="{BAEA2952-1E49-42E6-80BC-BA56A13A8113}" name="Product Nam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BE63AE-B112-4D33-8570-B2BEE4487560}" name="Countries" displayName="Countries" ref="A1:B15" totalsRowShown="0" headerRowDxfId="15">
  <tableColumns count="2">
    <tableColumn id="1" xr3:uid="{2FA72F14-FDA2-4370-89A0-E48FE1726282}" name="Country"/>
    <tableColumn id="2" xr3:uid="{D19A61EF-F1A2-4838-AB70-E53821484D86}" name="Orders" dataDxfId="1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557C25-6F33-4F5D-B9FB-913AECF9A28A}" name="PricePerOunce" displayName="PricePerOunce" ref="A1:G31" totalsRowShown="0" headerRowDxfId="13" dataDxfId="12">
  <tableColumns count="7">
    <tableColumn id="1" xr3:uid="{CB6B1193-531E-435A-95F3-92180CA20C25}" name="Team"/>
    <tableColumn id="2" xr3:uid="{D7A04607-F18B-4258-BD5A-E3DE6A39DC4D}" name="2013" dataDxfId="11"/>
    <tableColumn id="3" xr3:uid="{4C4C6E51-5069-4273-8A10-972DCFFB86CE}" name="2014" dataDxfId="10"/>
    <tableColumn id="4" xr3:uid="{C0B1B17B-D4E8-4197-BC82-63C519D40983}" name="2015" dataDxfId="9"/>
    <tableColumn id="5" xr3:uid="{9DD8C667-C884-4FFD-976B-EA42DA175676}" name="2016" dataDxfId="8"/>
    <tableColumn id="6" xr3:uid="{159094D7-662A-481F-828D-E033B7D87902}" name="2018" dataDxfId="7"/>
    <tableColumn id="7" xr3:uid="{159125B0-AD3F-4CB6-A91C-0460390447D1}" name="Change" dataDxfId="6">
      <calculatedColumnFormula>IF(PricePerOunce[[#This Row],[2018]]=PricePerOunce[[#This Row],[2013]],"None",IF(OR(PricePerOunce[[#This Row],[2018]]&gt;PricePerOunce[[#This Row],[2016]],PricePerOunce[[#This Row],[2018]]&gt;AVERAGE(PricePerOunce[[#This Row],[2013]:[2016]])),"Increase","Decrease"))</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455AE1B-8B90-484B-B3B2-E098B0A0400A}" name="Indicators" displayName="Indicators" ref="A1:D182" totalsRowShown="0" headerRowDxfId="5">
  <tableColumns count="4">
    <tableColumn id="1" xr3:uid="{F0E34CBA-BB15-4CCE-90F3-F4802FDF3939}" name="Country" dataDxfId="4"/>
    <tableColumn id="2" xr3:uid="{5D17D228-9A18-4BBF-9C16-B497D7A6553F}" name="Region"/>
    <tableColumn id="5" xr3:uid="{30CFD427-ECCC-45D7-AE78-484F4B8FEFC9}" name="Population" dataDxfId="3"/>
    <tableColumn id="6" xr3:uid="{5506DAA7-FE51-40FB-98E3-449FB3B50206}" name="Area"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BED2-E873-4914-9525-5880DC245935}">
  <sheetPr>
    <tabColor theme="3"/>
  </sheetPr>
  <dimension ref="A1"/>
  <sheetViews>
    <sheetView showGridLines="0" workbookViewId="0"/>
  </sheetViews>
  <sheetFormatPr defaultRowHeight="14.4" x14ac:dyDescent="0.3"/>
  <cols>
    <col min="1" max="1" width="2.8867187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59999389629810485"/>
  </sheetPr>
  <dimension ref="A1:L201"/>
  <sheetViews>
    <sheetView topLeftCell="B1" workbookViewId="0">
      <selection activeCell="F2" sqref="F2"/>
    </sheetView>
  </sheetViews>
  <sheetFormatPr defaultRowHeight="14.4" x14ac:dyDescent="0.3"/>
  <cols>
    <col min="1" max="1" width="9.44140625" customWidth="1"/>
    <col min="2" max="2" width="14.33203125" customWidth="1"/>
    <col min="3" max="3" width="17.109375" customWidth="1"/>
    <col min="4" max="4" width="11.44140625" bestFit="1" customWidth="1"/>
    <col min="5" max="5" width="12.33203125" customWidth="1"/>
    <col min="6" max="6" width="18.5546875" customWidth="1"/>
    <col min="7" max="9" width="11.44140625" customWidth="1"/>
    <col min="11" max="11" width="17.109375" customWidth="1"/>
    <col min="12" max="12" width="11.44140625" customWidth="1"/>
  </cols>
  <sheetData>
    <row r="1" spans="1:12" x14ac:dyDescent="0.3">
      <c r="A1" s="3" t="s">
        <v>42</v>
      </c>
      <c r="B1" s="3" t="s">
        <v>16</v>
      </c>
      <c r="C1" s="3" t="s">
        <v>0</v>
      </c>
      <c r="D1" s="3" t="s">
        <v>21</v>
      </c>
      <c r="E1" s="3" t="s">
        <v>17</v>
      </c>
      <c r="F1" s="3" t="s">
        <v>18</v>
      </c>
      <c r="G1" s="3" t="s">
        <v>1</v>
      </c>
      <c r="H1" s="3" t="s">
        <v>19</v>
      </c>
      <c r="I1" s="3" t="s">
        <v>20</v>
      </c>
      <c r="K1" s="12" t="s">
        <v>0</v>
      </c>
      <c r="L1" s="13" t="s">
        <v>22</v>
      </c>
    </row>
    <row r="2" spans="1:12" x14ac:dyDescent="0.3">
      <c r="A2" s="1">
        <v>540546</v>
      </c>
      <c r="B2" s="2">
        <v>43474</v>
      </c>
      <c r="C2" t="s">
        <v>9</v>
      </c>
      <c r="D2" s="1">
        <v>12766</v>
      </c>
      <c r="E2" s="1">
        <v>22740</v>
      </c>
      <c r="F2" t="str">
        <f>VLOOKUP(Orders[[#This Row],[Product ID]],Products[],2,0)</f>
        <v>Polkadot Pen</v>
      </c>
      <c r="G2" s="1">
        <v>48</v>
      </c>
      <c r="H2" s="19">
        <v>0.85</v>
      </c>
      <c r="I2" s="19">
        <v>40.799999999999997</v>
      </c>
      <c r="K2" s="40" t="s">
        <v>2</v>
      </c>
      <c r="L2" s="14">
        <f>COUNTIFS(Orders[Country],K2,Orders[Revenue],"&gt;=100")</f>
        <v>3</v>
      </c>
    </row>
    <row r="3" spans="1:12" x14ac:dyDescent="0.3">
      <c r="A3" s="1">
        <v>541115</v>
      </c>
      <c r="B3" s="2">
        <v>43478</v>
      </c>
      <c r="C3" t="s">
        <v>10</v>
      </c>
      <c r="D3" s="1">
        <v>12578</v>
      </c>
      <c r="E3" s="1">
        <v>21260</v>
      </c>
      <c r="F3" t="str">
        <f>VLOOKUP(Orders[[#This Row],[Product ID]],Products[],2,0)</f>
        <v>First Aid Tin</v>
      </c>
      <c r="G3" s="1">
        <v>6</v>
      </c>
      <c r="H3" s="19">
        <v>3.25</v>
      </c>
      <c r="I3" s="19">
        <v>19.5</v>
      </c>
    </row>
    <row r="4" spans="1:12" x14ac:dyDescent="0.3">
      <c r="A4" s="1">
        <v>541115</v>
      </c>
      <c r="B4" s="2">
        <v>43478</v>
      </c>
      <c r="C4" t="s">
        <v>10</v>
      </c>
      <c r="D4" s="1">
        <v>12578</v>
      </c>
      <c r="E4" s="1">
        <v>22190</v>
      </c>
      <c r="F4" t="str">
        <f>VLOOKUP(Orders[[#This Row],[Product ID]],Products[],2,0)</f>
        <v>Local Cafe Mug</v>
      </c>
      <c r="G4" s="1">
        <v>12</v>
      </c>
      <c r="H4" s="19">
        <v>2.1</v>
      </c>
      <c r="I4" s="19">
        <v>25.200000000000003</v>
      </c>
    </row>
    <row r="5" spans="1:12" x14ac:dyDescent="0.3">
      <c r="A5" s="1">
        <v>541224</v>
      </c>
      <c r="B5" s="2">
        <v>43479</v>
      </c>
      <c r="C5" t="s">
        <v>5</v>
      </c>
      <c r="D5" s="1">
        <v>12474</v>
      </c>
      <c r="E5" s="1">
        <v>21025</v>
      </c>
      <c r="F5" t="str">
        <f>VLOOKUP(Orders[[#This Row],[Product ID]],Products[],2,0)</f>
        <v>Space Frog</v>
      </c>
      <c r="G5" s="1">
        <v>10</v>
      </c>
      <c r="H5" s="19">
        <v>1.25</v>
      </c>
      <c r="I5" s="19">
        <v>12.5</v>
      </c>
    </row>
    <row r="6" spans="1:12" x14ac:dyDescent="0.3">
      <c r="A6" s="1">
        <v>541269</v>
      </c>
      <c r="B6" s="2">
        <v>43482</v>
      </c>
      <c r="C6" t="s">
        <v>5</v>
      </c>
      <c r="D6" s="1">
        <v>12626</v>
      </c>
      <c r="E6" s="1">
        <v>22174</v>
      </c>
      <c r="F6" t="str">
        <f>VLOOKUP(Orders[[#This Row],[Product ID]],Products[],2,0)</f>
        <v>Photo Cube</v>
      </c>
      <c r="G6" s="1">
        <v>12</v>
      </c>
      <c r="H6" s="19">
        <v>1.65</v>
      </c>
      <c r="I6" s="19">
        <v>19.799999999999997</v>
      </c>
    </row>
    <row r="7" spans="1:12" x14ac:dyDescent="0.3">
      <c r="A7" s="1">
        <v>541509</v>
      </c>
      <c r="B7" s="2">
        <v>43483</v>
      </c>
      <c r="C7" t="s">
        <v>2</v>
      </c>
      <c r="D7" s="1">
        <v>13263</v>
      </c>
      <c r="E7" s="1">
        <v>22694</v>
      </c>
      <c r="F7" t="str">
        <f>VLOOKUP(Orders[[#This Row],[Product ID]],Products[],2,0)</f>
        <v xml:space="preserve">Wicker Star </v>
      </c>
      <c r="G7" s="1">
        <v>1</v>
      </c>
      <c r="H7" s="19">
        <v>2.1</v>
      </c>
      <c r="I7" s="19">
        <v>2.1</v>
      </c>
    </row>
    <row r="8" spans="1:12" x14ac:dyDescent="0.3">
      <c r="A8" s="1">
        <v>541631</v>
      </c>
      <c r="B8" s="2">
        <v>43485</v>
      </c>
      <c r="C8" t="s">
        <v>3</v>
      </c>
      <c r="D8" s="1">
        <v>12637</v>
      </c>
      <c r="E8" s="1">
        <v>22174</v>
      </c>
      <c r="F8" t="str">
        <f>VLOOKUP(Orders[[#This Row],[Product ID]],Products[],2,0)</f>
        <v>Photo Cube</v>
      </c>
      <c r="G8" s="1">
        <v>12</v>
      </c>
      <c r="H8" s="19">
        <v>1.65</v>
      </c>
      <c r="I8" s="19">
        <v>19.799999999999997</v>
      </c>
    </row>
    <row r="9" spans="1:12" x14ac:dyDescent="0.3">
      <c r="A9" s="1">
        <v>541711</v>
      </c>
      <c r="B9" s="2">
        <v>43486</v>
      </c>
      <c r="C9" t="s">
        <v>4</v>
      </c>
      <c r="D9" s="1">
        <v>14646</v>
      </c>
      <c r="E9" s="1">
        <v>22653</v>
      </c>
      <c r="F9" t="str">
        <f>VLOOKUP(Orders[[#This Row],[Product ID]],Products[],2,0)</f>
        <v xml:space="preserve">Button Box </v>
      </c>
      <c r="G9" s="1">
        <v>10</v>
      </c>
      <c r="H9" s="19">
        <v>1.95</v>
      </c>
      <c r="I9" s="19">
        <v>19.5</v>
      </c>
    </row>
    <row r="10" spans="1:12" x14ac:dyDescent="0.3">
      <c r="A10" s="1">
        <v>542080</v>
      </c>
      <c r="B10" s="2">
        <v>43490</v>
      </c>
      <c r="C10" t="s">
        <v>5</v>
      </c>
      <c r="D10" s="1">
        <v>13815</v>
      </c>
      <c r="E10" s="1">
        <v>20713</v>
      </c>
      <c r="F10" t="str">
        <f>VLOOKUP(Orders[[#This Row],[Product ID]],Products[],2,0)</f>
        <v>Jumbo Bag Owls</v>
      </c>
      <c r="G10" s="1">
        <v>10</v>
      </c>
      <c r="H10" s="19">
        <v>1.95</v>
      </c>
      <c r="I10" s="19">
        <v>19.5</v>
      </c>
    </row>
    <row r="11" spans="1:12" x14ac:dyDescent="0.3">
      <c r="A11" s="1">
        <v>542080</v>
      </c>
      <c r="B11" s="2">
        <v>43490</v>
      </c>
      <c r="C11" t="s">
        <v>5</v>
      </c>
      <c r="D11" s="1">
        <v>13815</v>
      </c>
      <c r="E11" s="1">
        <v>22740</v>
      </c>
      <c r="F11" t="str">
        <f>VLOOKUP(Orders[[#This Row],[Product ID]],Products[],2,0)</f>
        <v>Polkadot Pen</v>
      </c>
      <c r="G11" s="1">
        <v>48</v>
      </c>
      <c r="H11" s="19">
        <v>0.85</v>
      </c>
      <c r="I11" s="19">
        <v>40.799999999999997</v>
      </c>
    </row>
    <row r="12" spans="1:12" x14ac:dyDescent="0.3">
      <c r="A12" s="1">
        <v>542080</v>
      </c>
      <c r="B12" s="2">
        <v>43490</v>
      </c>
      <c r="C12" t="s">
        <v>5</v>
      </c>
      <c r="D12" s="1">
        <v>13815</v>
      </c>
      <c r="E12" s="1">
        <v>22741</v>
      </c>
      <c r="F12" t="str">
        <f>VLOOKUP(Orders[[#This Row],[Product ID]],Products[],2,0)</f>
        <v>Funky Diva Pen</v>
      </c>
      <c r="G12" s="1">
        <v>48</v>
      </c>
      <c r="H12" s="19">
        <v>0.85</v>
      </c>
      <c r="I12" s="19">
        <v>40.799999999999997</v>
      </c>
    </row>
    <row r="13" spans="1:12" x14ac:dyDescent="0.3">
      <c r="A13" s="1">
        <v>542371</v>
      </c>
      <c r="B13" s="2">
        <v>43492</v>
      </c>
      <c r="C13" t="s">
        <v>5</v>
      </c>
      <c r="D13" s="1">
        <v>12468</v>
      </c>
      <c r="E13" s="1">
        <v>62018</v>
      </c>
      <c r="F13" t="str">
        <f>VLOOKUP(Orders[[#This Row],[Product ID]],Products[],2,0)</f>
        <v xml:space="preserve">Sombrero </v>
      </c>
      <c r="G13" s="1">
        <v>6</v>
      </c>
      <c r="H13" s="19">
        <v>1.95</v>
      </c>
      <c r="I13" s="19">
        <v>11.7</v>
      </c>
    </row>
    <row r="14" spans="1:12" x14ac:dyDescent="0.3">
      <c r="A14" s="1">
        <v>542428</v>
      </c>
      <c r="B14" s="2">
        <v>43493</v>
      </c>
      <c r="C14" t="s">
        <v>13</v>
      </c>
      <c r="D14" s="1">
        <v>17404</v>
      </c>
      <c r="E14" s="1">
        <v>21260</v>
      </c>
      <c r="F14" t="str">
        <f>VLOOKUP(Orders[[#This Row],[Product ID]],Products[],2,0)</f>
        <v>First Aid Tin</v>
      </c>
      <c r="G14" s="1">
        <v>48</v>
      </c>
      <c r="H14" s="19">
        <v>3.25</v>
      </c>
      <c r="I14" s="19">
        <v>156</v>
      </c>
    </row>
    <row r="15" spans="1:12" x14ac:dyDescent="0.3">
      <c r="A15" s="1">
        <v>542535</v>
      </c>
      <c r="B15" s="2">
        <v>43493</v>
      </c>
      <c r="C15" t="s">
        <v>3</v>
      </c>
      <c r="D15" s="1">
        <v>12735</v>
      </c>
      <c r="E15" s="1">
        <v>21888</v>
      </c>
      <c r="F15" t="str">
        <f>VLOOKUP(Orders[[#This Row],[Product ID]],Products[],2,0)</f>
        <v>Bingo Set</v>
      </c>
      <c r="G15" s="1">
        <v>4</v>
      </c>
      <c r="H15" s="19">
        <v>3.75</v>
      </c>
      <c r="I15" s="19">
        <v>15</v>
      </c>
    </row>
    <row r="16" spans="1:12" x14ac:dyDescent="0.3">
      <c r="A16" s="1">
        <v>542612</v>
      </c>
      <c r="B16" s="2">
        <v>43495</v>
      </c>
      <c r="C16" t="s">
        <v>2</v>
      </c>
      <c r="D16" s="1">
        <v>17841</v>
      </c>
      <c r="E16" s="1">
        <v>20713</v>
      </c>
      <c r="F16" t="str">
        <f>VLOOKUP(Orders[[#This Row],[Product ID]],Products[],2,0)</f>
        <v>Jumbo Bag Owls</v>
      </c>
      <c r="G16" s="1">
        <v>1</v>
      </c>
      <c r="H16" s="19">
        <v>1.95</v>
      </c>
      <c r="I16" s="19">
        <v>1.95</v>
      </c>
    </row>
    <row r="17" spans="1:9" x14ac:dyDescent="0.3">
      <c r="A17" s="1">
        <v>542648</v>
      </c>
      <c r="B17" s="2">
        <v>43496</v>
      </c>
      <c r="C17" t="s">
        <v>5</v>
      </c>
      <c r="D17" s="1">
        <v>12476</v>
      </c>
      <c r="E17" s="1">
        <v>21116</v>
      </c>
      <c r="F17" t="str">
        <f>VLOOKUP(Orders[[#This Row],[Product ID]],Products[],2,0)</f>
        <v>Owl Doorstop</v>
      </c>
      <c r="G17" s="1">
        <v>3</v>
      </c>
      <c r="H17" s="19">
        <v>4.95</v>
      </c>
      <c r="I17" s="19">
        <v>14.850000000000001</v>
      </c>
    </row>
    <row r="18" spans="1:9" x14ac:dyDescent="0.3">
      <c r="A18" s="1">
        <v>542887</v>
      </c>
      <c r="B18" s="2">
        <v>43497</v>
      </c>
      <c r="C18" t="s">
        <v>15</v>
      </c>
      <c r="D18" s="1">
        <v>12373</v>
      </c>
      <c r="E18" s="1">
        <v>20713</v>
      </c>
      <c r="F18" t="str">
        <f>VLOOKUP(Orders[[#This Row],[Product ID]],Products[],2,0)</f>
        <v>Jumbo Bag Owls</v>
      </c>
      <c r="G18" s="1">
        <v>10</v>
      </c>
      <c r="H18" s="19">
        <v>1.95</v>
      </c>
      <c r="I18" s="19">
        <v>19.5</v>
      </c>
    </row>
    <row r="19" spans="1:9" x14ac:dyDescent="0.3">
      <c r="A19" s="1">
        <v>543731</v>
      </c>
      <c r="B19" s="2">
        <v>43507</v>
      </c>
      <c r="C19" t="s">
        <v>2</v>
      </c>
      <c r="D19" s="1">
        <v>17677</v>
      </c>
      <c r="E19" s="1">
        <v>20713</v>
      </c>
      <c r="F19" t="str">
        <f>VLOOKUP(Orders[[#This Row],[Product ID]],Products[],2,0)</f>
        <v>Jumbo Bag Owls</v>
      </c>
      <c r="G19" s="1">
        <v>100</v>
      </c>
      <c r="H19" s="19">
        <v>1.65</v>
      </c>
      <c r="I19" s="19">
        <v>165</v>
      </c>
    </row>
    <row r="20" spans="1:9" x14ac:dyDescent="0.3">
      <c r="A20" s="1">
        <v>543733</v>
      </c>
      <c r="B20" s="2">
        <v>43507</v>
      </c>
      <c r="C20" t="s">
        <v>11</v>
      </c>
      <c r="D20" s="1">
        <v>12395</v>
      </c>
      <c r="E20" s="1">
        <v>22740</v>
      </c>
      <c r="F20" t="str">
        <f>VLOOKUP(Orders[[#This Row],[Product ID]],Products[],2,0)</f>
        <v>Polkadot Pen</v>
      </c>
      <c r="G20" s="1">
        <v>48</v>
      </c>
      <c r="H20" s="19">
        <v>0.85</v>
      </c>
      <c r="I20" s="19">
        <v>40.799999999999997</v>
      </c>
    </row>
    <row r="21" spans="1:9" x14ac:dyDescent="0.3">
      <c r="A21" s="1">
        <v>543737</v>
      </c>
      <c r="B21" s="2">
        <v>43507</v>
      </c>
      <c r="C21" t="s">
        <v>5</v>
      </c>
      <c r="D21" s="1">
        <v>12477</v>
      </c>
      <c r="E21" s="1">
        <v>21116</v>
      </c>
      <c r="F21" t="str">
        <f>VLOOKUP(Orders[[#This Row],[Product ID]],Products[],2,0)</f>
        <v>Owl Doorstop</v>
      </c>
      <c r="G21" s="1">
        <v>3</v>
      </c>
      <c r="H21" s="19">
        <v>4.95</v>
      </c>
      <c r="I21" s="19">
        <v>14.850000000000001</v>
      </c>
    </row>
    <row r="22" spans="1:9" x14ac:dyDescent="0.3">
      <c r="A22" s="1">
        <v>543831</v>
      </c>
      <c r="B22" s="2">
        <v>43510</v>
      </c>
      <c r="C22" t="s">
        <v>2</v>
      </c>
      <c r="D22" s="1">
        <v>15769</v>
      </c>
      <c r="E22" s="1">
        <v>20713</v>
      </c>
      <c r="F22" t="str">
        <f>VLOOKUP(Orders[[#This Row],[Product ID]],Products[],2,0)</f>
        <v>Jumbo Bag Owls</v>
      </c>
      <c r="G22" s="1">
        <v>100</v>
      </c>
      <c r="H22" s="19">
        <v>1.65</v>
      </c>
      <c r="I22" s="19">
        <v>165</v>
      </c>
    </row>
    <row r="23" spans="1:9" x14ac:dyDescent="0.3">
      <c r="A23" s="1">
        <v>544355</v>
      </c>
      <c r="B23" s="2">
        <v>43514</v>
      </c>
      <c r="C23" t="s">
        <v>3</v>
      </c>
      <c r="D23" s="1">
        <v>12714</v>
      </c>
      <c r="E23" s="1">
        <v>22741</v>
      </c>
      <c r="F23" t="str">
        <f>VLOOKUP(Orders[[#This Row],[Product ID]],Products[],2,0)</f>
        <v>Funky Diva Pen</v>
      </c>
      <c r="G23" s="1">
        <v>48</v>
      </c>
      <c r="H23" s="19">
        <v>0.85</v>
      </c>
      <c r="I23" s="19">
        <v>40.799999999999997</v>
      </c>
    </row>
    <row r="24" spans="1:9" x14ac:dyDescent="0.3">
      <c r="A24" s="1">
        <v>544355</v>
      </c>
      <c r="B24" s="2">
        <v>43514</v>
      </c>
      <c r="C24" t="s">
        <v>3</v>
      </c>
      <c r="D24" s="1">
        <v>12714</v>
      </c>
      <c r="E24" s="1">
        <v>22740</v>
      </c>
      <c r="F24" t="str">
        <f>VLOOKUP(Orders[[#This Row],[Product ID]],Products[],2,0)</f>
        <v>Polkadot Pen</v>
      </c>
      <c r="G24" s="1">
        <v>96</v>
      </c>
      <c r="H24" s="19">
        <v>0.85</v>
      </c>
      <c r="I24" s="19">
        <v>81.599999999999994</v>
      </c>
    </row>
    <row r="25" spans="1:9" x14ac:dyDescent="0.3">
      <c r="A25" s="1">
        <v>544399</v>
      </c>
      <c r="B25" s="2">
        <v>43514</v>
      </c>
      <c r="C25" t="s">
        <v>10</v>
      </c>
      <c r="D25" s="1">
        <v>12594</v>
      </c>
      <c r="E25" s="1">
        <v>20713</v>
      </c>
      <c r="F25" t="str">
        <f>VLOOKUP(Orders[[#This Row],[Product ID]],Products[],2,0)</f>
        <v>Jumbo Bag Owls</v>
      </c>
      <c r="G25" s="1">
        <v>10</v>
      </c>
      <c r="H25" s="19">
        <v>1.95</v>
      </c>
      <c r="I25" s="19">
        <v>19.5</v>
      </c>
    </row>
    <row r="26" spans="1:9" x14ac:dyDescent="0.3">
      <c r="A26" s="1">
        <v>544480</v>
      </c>
      <c r="B26" s="2">
        <v>43517</v>
      </c>
      <c r="C26" t="s">
        <v>4</v>
      </c>
      <c r="D26" s="1">
        <v>14646</v>
      </c>
      <c r="E26" s="1">
        <v>20713</v>
      </c>
      <c r="F26" t="str">
        <f>VLOOKUP(Orders[[#This Row],[Product ID]],Products[],2,0)</f>
        <v>Jumbo Bag Owls</v>
      </c>
      <c r="G26" s="1">
        <v>100</v>
      </c>
      <c r="H26" s="19">
        <v>1.65</v>
      </c>
      <c r="I26" s="19">
        <v>165</v>
      </c>
    </row>
    <row r="27" spans="1:9" x14ac:dyDescent="0.3">
      <c r="A27" s="1">
        <v>544480</v>
      </c>
      <c r="B27" s="2">
        <v>43517</v>
      </c>
      <c r="C27" t="s">
        <v>4</v>
      </c>
      <c r="D27" s="1">
        <v>14646</v>
      </c>
      <c r="E27" s="1">
        <v>22653</v>
      </c>
      <c r="F27" t="str">
        <f>VLOOKUP(Orders[[#This Row],[Product ID]],Products[],2,0)</f>
        <v xml:space="preserve">Button Box </v>
      </c>
      <c r="G27" s="1">
        <v>200</v>
      </c>
      <c r="H27" s="19">
        <v>1.65</v>
      </c>
      <c r="I27" s="19">
        <v>330</v>
      </c>
    </row>
    <row r="28" spans="1:9" x14ac:dyDescent="0.3">
      <c r="A28" s="1">
        <v>544657</v>
      </c>
      <c r="B28" s="2">
        <v>43518</v>
      </c>
      <c r="C28" t="s">
        <v>2</v>
      </c>
      <c r="D28" s="1">
        <v>14895</v>
      </c>
      <c r="E28" s="1">
        <v>22174</v>
      </c>
      <c r="F28" t="str">
        <f>VLOOKUP(Orders[[#This Row],[Product ID]],Products[],2,0)</f>
        <v>Photo Cube</v>
      </c>
      <c r="G28" s="1">
        <v>12</v>
      </c>
      <c r="H28" s="19">
        <v>1.65</v>
      </c>
      <c r="I28" s="19">
        <v>19.799999999999997</v>
      </c>
    </row>
    <row r="29" spans="1:9" x14ac:dyDescent="0.3">
      <c r="A29" s="1">
        <v>544672</v>
      </c>
      <c r="B29" s="2">
        <v>43518</v>
      </c>
      <c r="C29" t="s">
        <v>4</v>
      </c>
      <c r="D29" s="1">
        <v>14646</v>
      </c>
      <c r="E29" s="1">
        <v>22653</v>
      </c>
      <c r="F29" t="str">
        <f>VLOOKUP(Orders[[#This Row],[Product ID]],Products[],2,0)</f>
        <v xml:space="preserve">Button Box </v>
      </c>
      <c r="G29" s="1">
        <v>20</v>
      </c>
      <c r="H29" s="19">
        <v>1.95</v>
      </c>
      <c r="I29" s="19">
        <v>39</v>
      </c>
    </row>
    <row r="30" spans="1:9" x14ac:dyDescent="0.3">
      <c r="A30" s="1">
        <v>544672</v>
      </c>
      <c r="B30" s="2">
        <v>43518</v>
      </c>
      <c r="C30" t="s">
        <v>4</v>
      </c>
      <c r="D30" s="1">
        <v>14646</v>
      </c>
      <c r="E30" s="1">
        <v>20713</v>
      </c>
      <c r="F30" t="str">
        <f>VLOOKUP(Orders[[#This Row],[Product ID]],Products[],2,0)</f>
        <v>Jumbo Bag Owls</v>
      </c>
      <c r="G30" s="1">
        <v>100</v>
      </c>
      <c r="H30" s="19">
        <v>1.65</v>
      </c>
      <c r="I30" s="19">
        <v>165</v>
      </c>
    </row>
    <row r="31" spans="1:9" x14ac:dyDescent="0.3">
      <c r="A31" s="1">
        <v>544811</v>
      </c>
      <c r="B31" s="2">
        <v>43519</v>
      </c>
      <c r="C31" t="s">
        <v>5</v>
      </c>
      <c r="D31" s="1">
        <v>12471</v>
      </c>
      <c r="E31" s="1">
        <v>22741</v>
      </c>
      <c r="F31" t="str">
        <f>VLOOKUP(Orders[[#This Row],[Product ID]],Products[],2,0)</f>
        <v>Funky Diva Pen</v>
      </c>
      <c r="G31" s="1">
        <v>48</v>
      </c>
      <c r="H31" s="19">
        <v>0.85</v>
      </c>
      <c r="I31" s="19">
        <v>40.799999999999997</v>
      </c>
    </row>
    <row r="32" spans="1:9" x14ac:dyDescent="0.3">
      <c r="A32" s="1">
        <v>545664</v>
      </c>
      <c r="B32" s="2">
        <v>43528</v>
      </c>
      <c r="C32" t="s">
        <v>10</v>
      </c>
      <c r="D32" s="1">
        <v>12584</v>
      </c>
      <c r="E32" s="1">
        <v>21260</v>
      </c>
      <c r="F32" t="str">
        <f>VLOOKUP(Orders[[#This Row],[Product ID]],Products[],2,0)</f>
        <v>First Aid Tin</v>
      </c>
      <c r="G32" s="1">
        <v>6</v>
      </c>
      <c r="H32" s="19">
        <v>3.25</v>
      </c>
      <c r="I32" s="19">
        <v>19.5</v>
      </c>
    </row>
    <row r="33" spans="1:9" x14ac:dyDescent="0.3">
      <c r="A33" s="1">
        <v>545937</v>
      </c>
      <c r="B33" s="2">
        <v>43532</v>
      </c>
      <c r="C33" t="s">
        <v>9</v>
      </c>
      <c r="D33" s="1">
        <v>12758</v>
      </c>
      <c r="E33" s="1">
        <v>22740</v>
      </c>
      <c r="F33" t="str">
        <f>VLOOKUP(Orders[[#This Row],[Product ID]],Products[],2,0)</f>
        <v>Polkadot Pen</v>
      </c>
      <c r="G33" s="1">
        <v>48</v>
      </c>
      <c r="H33" s="19">
        <v>0.85</v>
      </c>
      <c r="I33" s="19">
        <v>40.799999999999997</v>
      </c>
    </row>
    <row r="34" spans="1:9" x14ac:dyDescent="0.3">
      <c r="A34" s="1">
        <v>545988</v>
      </c>
      <c r="B34" s="2">
        <v>43532</v>
      </c>
      <c r="C34" t="s">
        <v>5</v>
      </c>
      <c r="D34" s="1">
        <v>12662</v>
      </c>
      <c r="E34" s="1">
        <v>20713</v>
      </c>
      <c r="F34" t="str">
        <f>VLOOKUP(Orders[[#This Row],[Product ID]],Products[],2,0)</f>
        <v>Jumbo Bag Owls</v>
      </c>
      <c r="G34" s="1">
        <v>10</v>
      </c>
      <c r="H34" s="19">
        <v>1.95</v>
      </c>
      <c r="I34" s="19">
        <v>19.5</v>
      </c>
    </row>
    <row r="35" spans="1:9" x14ac:dyDescent="0.3">
      <c r="A35" s="1">
        <v>546780</v>
      </c>
      <c r="B35" s="2">
        <v>43541</v>
      </c>
      <c r="C35" t="s">
        <v>12</v>
      </c>
      <c r="D35" s="1">
        <v>12435</v>
      </c>
      <c r="E35" s="1">
        <v>20713</v>
      </c>
      <c r="F35" t="str">
        <f>VLOOKUP(Orders[[#This Row],[Product ID]],Products[],2,0)</f>
        <v>Jumbo Bag Owls</v>
      </c>
      <c r="G35" s="1">
        <v>20</v>
      </c>
      <c r="H35" s="19">
        <v>1.95</v>
      </c>
      <c r="I35" s="19">
        <v>39</v>
      </c>
    </row>
    <row r="36" spans="1:9" x14ac:dyDescent="0.3">
      <c r="A36" s="1">
        <v>546843</v>
      </c>
      <c r="B36" s="2">
        <v>43541</v>
      </c>
      <c r="C36" t="s">
        <v>5</v>
      </c>
      <c r="D36" s="1">
        <v>12472</v>
      </c>
      <c r="E36" s="1">
        <v>20713</v>
      </c>
      <c r="F36" t="str">
        <f>VLOOKUP(Orders[[#This Row],[Product ID]],Products[],2,0)</f>
        <v>Jumbo Bag Owls</v>
      </c>
      <c r="G36" s="1">
        <v>10</v>
      </c>
      <c r="H36" s="19">
        <v>1.95</v>
      </c>
      <c r="I36" s="19">
        <v>19.5</v>
      </c>
    </row>
    <row r="37" spans="1:9" x14ac:dyDescent="0.3">
      <c r="A37" s="1">
        <v>546843</v>
      </c>
      <c r="B37" s="2">
        <v>43541</v>
      </c>
      <c r="C37" t="s">
        <v>5</v>
      </c>
      <c r="D37" s="1">
        <v>12472</v>
      </c>
      <c r="E37" s="1">
        <v>22740</v>
      </c>
      <c r="F37" t="str">
        <f>VLOOKUP(Orders[[#This Row],[Product ID]],Products[],2,0)</f>
        <v>Polkadot Pen</v>
      </c>
      <c r="G37" s="1">
        <v>48</v>
      </c>
      <c r="H37" s="19">
        <v>0.85</v>
      </c>
      <c r="I37" s="19">
        <v>40.799999999999997</v>
      </c>
    </row>
    <row r="38" spans="1:9" x14ac:dyDescent="0.3">
      <c r="A38" s="1">
        <v>546920</v>
      </c>
      <c r="B38" s="2">
        <v>43542</v>
      </c>
      <c r="C38" t="s">
        <v>5</v>
      </c>
      <c r="D38" s="1">
        <v>12471</v>
      </c>
      <c r="E38" s="1">
        <v>22741</v>
      </c>
      <c r="F38" t="str">
        <f>VLOOKUP(Orders[[#This Row],[Product ID]],Products[],2,0)</f>
        <v>Funky Diva Pen</v>
      </c>
      <c r="G38" s="1">
        <v>48</v>
      </c>
      <c r="H38" s="19">
        <v>0.85</v>
      </c>
      <c r="I38" s="19">
        <v>40.799999999999997</v>
      </c>
    </row>
    <row r="39" spans="1:9" x14ac:dyDescent="0.3">
      <c r="A39" s="1">
        <v>547194</v>
      </c>
      <c r="B39" s="2">
        <v>43545</v>
      </c>
      <c r="C39" t="s">
        <v>3</v>
      </c>
      <c r="D39" s="1">
        <v>12637</v>
      </c>
      <c r="E39" s="1">
        <v>20713</v>
      </c>
      <c r="F39" t="str">
        <f>VLOOKUP(Orders[[#This Row],[Product ID]],Products[],2,0)</f>
        <v>Jumbo Bag Owls</v>
      </c>
      <c r="G39" s="1">
        <v>2</v>
      </c>
      <c r="H39" s="19">
        <v>1.95</v>
      </c>
      <c r="I39" s="19">
        <v>3.9</v>
      </c>
    </row>
    <row r="40" spans="1:9" x14ac:dyDescent="0.3">
      <c r="A40" s="1">
        <v>547517</v>
      </c>
      <c r="B40" s="2">
        <v>43547</v>
      </c>
      <c r="C40" t="s">
        <v>11</v>
      </c>
      <c r="D40" s="1">
        <v>12395</v>
      </c>
      <c r="E40" s="1">
        <v>22740</v>
      </c>
      <c r="F40" t="str">
        <f>VLOOKUP(Orders[[#This Row],[Product ID]],Products[],2,0)</f>
        <v>Polkadot Pen</v>
      </c>
      <c r="G40" s="1">
        <v>48</v>
      </c>
      <c r="H40" s="19">
        <v>0.85</v>
      </c>
      <c r="I40" s="19">
        <v>40.799999999999997</v>
      </c>
    </row>
    <row r="41" spans="1:9" x14ac:dyDescent="0.3">
      <c r="A41" s="1">
        <v>547685</v>
      </c>
      <c r="B41" s="2">
        <v>43548</v>
      </c>
      <c r="C41" t="s">
        <v>11</v>
      </c>
      <c r="D41" s="1">
        <v>12408</v>
      </c>
      <c r="E41" s="1">
        <v>20713</v>
      </c>
      <c r="F41" t="str">
        <f>VLOOKUP(Orders[[#This Row],[Product ID]],Products[],2,0)</f>
        <v>Jumbo Bag Owls</v>
      </c>
      <c r="G41" s="1">
        <v>10</v>
      </c>
      <c r="H41" s="19">
        <v>1.95</v>
      </c>
      <c r="I41" s="19">
        <v>19.5</v>
      </c>
    </row>
    <row r="42" spans="1:9" x14ac:dyDescent="0.3">
      <c r="A42" s="1">
        <v>547897</v>
      </c>
      <c r="B42" s="2">
        <v>43552</v>
      </c>
      <c r="C42" t="s">
        <v>9</v>
      </c>
      <c r="D42" s="1">
        <v>12792</v>
      </c>
      <c r="E42" s="1">
        <v>21888</v>
      </c>
      <c r="F42" t="str">
        <f>VLOOKUP(Orders[[#This Row],[Product ID]],Products[],2,0)</f>
        <v>Bingo Set</v>
      </c>
      <c r="G42" s="1">
        <v>4</v>
      </c>
      <c r="H42" s="19">
        <v>3.75</v>
      </c>
      <c r="I42" s="19">
        <v>15</v>
      </c>
    </row>
    <row r="43" spans="1:9" x14ac:dyDescent="0.3">
      <c r="A43" s="1">
        <v>548711</v>
      </c>
      <c r="B43" s="2">
        <v>43558</v>
      </c>
      <c r="C43" t="s">
        <v>2</v>
      </c>
      <c r="D43" s="1">
        <v>18116</v>
      </c>
      <c r="E43" s="1">
        <v>22694</v>
      </c>
      <c r="F43" t="str">
        <f>VLOOKUP(Orders[[#This Row],[Product ID]],Products[],2,0)</f>
        <v xml:space="preserve">Wicker Star </v>
      </c>
      <c r="G43" s="1">
        <v>1</v>
      </c>
      <c r="H43" s="19">
        <v>2.1</v>
      </c>
      <c r="I43" s="19">
        <v>2.1</v>
      </c>
    </row>
    <row r="44" spans="1:9" x14ac:dyDescent="0.3">
      <c r="A44" s="1">
        <v>548745</v>
      </c>
      <c r="B44" s="2">
        <v>43559</v>
      </c>
      <c r="C44" t="s">
        <v>5</v>
      </c>
      <c r="D44" s="1">
        <v>12471</v>
      </c>
      <c r="E44" s="1">
        <v>22741</v>
      </c>
      <c r="F44" t="str">
        <f>VLOOKUP(Orders[[#This Row],[Product ID]],Products[],2,0)</f>
        <v>Funky Diva Pen</v>
      </c>
      <c r="G44" s="1">
        <v>48</v>
      </c>
      <c r="H44" s="19">
        <v>0.85</v>
      </c>
      <c r="I44" s="19">
        <v>40.799999999999997</v>
      </c>
    </row>
    <row r="45" spans="1:9" x14ac:dyDescent="0.3">
      <c r="A45" s="1">
        <v>550188</v>
      </c>
      <c r="B45" s="2">
        <v>43569</v>
      </c>
      <c r="C45" t="s">
        <v>7</v>
      </c>
      <c r="D45" s="1">
        <v>12457</v>
      </c>
      <c r="E45" s="1">
        <v>21888</v>
      </c>
      <c r="F45" t="str">
        <f>VLOOKUP(Orders[[#This Row],[Product ID]],Products[],2,0)</f>
        <v>Bingo Set</v>
      </c>
      <c r="G45" s="1">
        <v>4</v>
      </c>
      <c r="H45" s="19">
        <v>3.75</v>
      </c>
      <c r="I45" s="19">
        <v>15</v>
      </c>
    </row>
    <row r="46" spans="1:9" x14ac:dyDescent="0.3">
      <c r="A46" s="1">
        <v>550665</v>
      </c>
      <c r="B46" s="2">
        <v>43575</v>
      </c>
      <c r="C46" t="s">
        <v>5</v>
      </c>
      <c r="D46" s="1">
        <v>12530</v>
      </c>
      <c r="E46" s="1">
        <v>22740</v>
      </c>
      <c r="F46" t="str">
        <f>VLOOKUP(Orders[[#This Row],[Product ID]],Products[],2,0)</f>
        <v>Polkadot Pen</v>
      </c>
      <c r="G46" s="1">
        <v>48</v>
      </c>
      <c r="H46" s="19">
        <v>0.85</v>
      </c>
      <c r="I46" s="19">
        <v>40.799999999999997</v>
      </c>
    </row>
    <row r="47" spans="1:9" x14ac:dyDescent="0.3">
      <c r="A47" s="1">
        <v>550827</v>
      </c>
      <c r="B47" s="2">
        <v>43576</v>
      </c>
      <c r="C47" t="s">
        <v>3</v>
      </c>
      <c r="D47" s="1">
        <v>12670</v>
      </c>
      <c r="E47" s="1">
        <v>22740</v>
      </c>
      <c r="F47" t="str">
        <f>VLOOKUP(Orders[[#This Row],[Product ID]],Products[],2,0)</f>
        <v>Polkadot Pen</v>
      </c>
      <c r="G47" s="1">
        <v>48</v>
      </c>
      <c r="H47" s="19">
        <v>0.85</v>
      </c>
      <c r="I47" s="19">
        <v>40.799999999999997</v>
      </c>
    </row>
    <row r="48" spans="1:9" x14ac:dyDescent="0.3">
      <c r="A48" s="1">
        <v>552337</v>
      </c>
      <c r="B48" s="2">
        <v>43594</v>
      </c>
      <c r="C48" t="s">
        <v>5</v>
      </c>
      <c r="D48" s="1">
        <v>12621</v>
      </c>
      <c r="E48" s="1">
        <v>21116</v>
      </c>
      <c r="F48" t="str">
        <f>VLOOKUP(Orders[[#This Row],[Product ID]],Products[],2,0)</f>
        <v>Owl Doorstop</v>
      </c>
      <c r="G48" s="1">
        <v>3</v>
      </c>
      <c r="H48" s="19">
        <v>4.95</v>
      </c>
      <c r="I48" s="19">
        <v>14.850000000000001</v>
      </c>
    </row>
    <row r="49" spans="1:9" x14ac:dyDescent="0.3">
      <c r="A49" s="1">
        <v>552978</v>
      </c>
      <c r="B49" s="2">
        <v>43597</v>
      </c>
      <c r="C49" t="s">
        <v>5</v>
      </c>
      <c r="D49" s="1">
        <v>12590</v>
      </c>
      <c r="E49" s="1">
        <v>22740</v>
      </c>
      <c r="F49" t="str">
        <f>VLOOKUP(Orders[[#This Row],[Product ID]],Products[],2,0)</f>
        <v>Polkadot Pen</v>
      </c>
      <c r="G49" s="1">
        <v>48</v>
      </c>
      <c r="H49" s="19">
        <v>0.85</v>
      </c>
      <c r="I49" s="19">
        <v>40.799999999999997</v>
      </c>
    </row>
    <row r="50" spans="1:9" x14ac:dyDescent="0.3">
      <c r="A50" s="1">
        <v>553037</v>
      </c>
      <c r="B50" s="2">
        <v>43598</v>
      </c>
      <c r="C50" t="s">
        <v>5</v>
      </c>
      <c r="D50" s="1">
        <v>12471</v>
      </c>
      <c r="E50" s="1">
        <v>22741</v>
      </c>
      <c r="F50" t="str">
        <f>VLOOKUP(Orders[[#This Row],[Product ID]],Products[],2,0)</f>
        <v>Funky Diva Pen</v>
      </c>
      <c r="G50" s="1">
        <v>48</v>
      </c>
      <c r="H50" s="19">
        <v>0.85</v>
      </c>
      <c r="I50" s="19">
        <v>40.799999999999997</v>
      </c>
    </row>
    <row r="51" spans="1:9" x14ac:dyDescent="0.3">
      <c r="A51" s="1">
        <v>553377</v>
      </c>
      <c r="B51" s="2">
        <v>43601</v>
      </c>
      <c r="C51" t="s">
        <v>2</v>
      </c>
      <c r="D51" s="1">
        <v>14888</v>
      </c>
      <c r="E51" s="1">
        <v>21888</v>
      </c>
      <c r="F51" t="str">
        <f>VLOOKUP(Orders[[#This Row],[Product ID]],Products[],2,0)</f>
        <v>Bingo Set</v>
      </c>
      <c r="G51" s="1">
        <v>6</v>
      </c>
      <c r="H51" s="19">
        <v>3.75</v>
      </c>
      <c r="I51" s="19">
        <v>22.5</v>
      </c>
    </row>
    <row r="52" spans="1:9" x14ac:dyDescent="0.3">
      <c r="A52" s="1">
        <v>553540</v>
      </c>
      <c r="B52" s="2">
        <v>43602</v>
      </c>
      <c r="C52" t="s">
        <v>2</v>
      </c>
      <c r="D52" s="1">
        <v>17511</v>
      </c>
      <c r="E52" s="1">
        <v>21888</v>
      </c>
      <c r="F52" t="str">
        <f>VLOOKUP(Orders[[#This Row],[Product ID]],Products[],2,0)</f>
        <v>Bingo Set</v>
      </c>
      <c r="G52" s="1">
        <v>4</v>
      </c>
      <c r="H52" s="19">
        <v>3.75</v>
      </c>
      <c r="I52" s="19">
        <v>15</v>
      </c>
    </row>
    <row r="53" spans="1:9" x14ac:dyDescent="0.3">
      <c r="A53" s="1">
        <v>553832</v>
      </c>
      <c r="B53" s="2">
        <v>43604</v>
      </c>
      <c r="C53" t="s">
        <v>2</v>
      </c>
      <c r="D53" s="1">
        <v>12957</v>
      </c>
      <c r="E53" s="1">
        <v>21025</v>
      </c>
      <c r="F53" t="str">
        <f>VLOOKUP(Orders[[#This Row],[Product ID]],Products[],2,0)</f>
        <v>Space Frog</v>
      </c>
      <c r="G53" s="1">
        <v>10</v>
      </c>
      <c r="H53" s="19">
        <v>1.25</v>
      </c>
      <c r="I53" s="19">
        <v>12.5</v>
      </c>
    </row>
    <row r="54" spans="1:9" x14ac:dyDescent="0.3">
      <c r="A54" s="1">
        <v>554356</v>
      </c>
      <c r="B54" s="2">
        <v>43609</v>
      </c>
      <c r="C54" t="s">
        <v>3</v>
      </c>
      <c r="D54" s="1">
        <v>12670</v>
      </c>
      <c r="E54" s="1">
        <v>22740</v>
      </c>
      <c r="F54" t="str">
        <f>VLOOKUP(Orders[[#This Row],[Product ID]],Products[],2,0)</f>
        <v>Polkadot Pen</v>
      </c>
      <c r="G54" s="1">
        <v>48</v>
      </c>
      <c r="H54" s="19">
        <v>0.85</v>
      </c>
      <c r="I54" s="19">
        <v>40.799999999999997</v>
      </c>
    </row>
    <row r="55" spans="1:9" x14ac:dyDescent="0.3">
      <c r="A55" s="1">
        <v>555095</v>
      </c>
      <c r="B55" s="2">
        <v>43616</v>
      </c>
      <c r="C55" t="s">
        <v>8</v>
      </c>
      <c r="D55" s="1">
        <v>12540</v>
      </c>
      <c r="E55" s="1">
        <v>21116</v>
      </c>
      <c r="F55" t="str">
        <f>VLOOKUP(Orders[[#This Row],[Product ID]],Products[],2,0)</f>
        <v>Owl Doorstop</v>
      </c>
      <c r="G55" s="1">
        <v>3</v>
      </c>
      <c r="H55" s="19">
        <v>4.95</v>
      </c>
      <c r="I55" s="19">
        <v>14.850000000000001</v>
      </c>
    </row>
    <row r="56" spans="1:9" x14ac:dyDescent="0.3">
      <c r="A56" s="1">
        <v>555162</v>
      </c>
      <c r="B56" s="2">
        <v>43617</v>
      </c>
      <c r="C56" t="s">
        <v>5</v>
      </c>
      <c r="D56" s="1">
        <v>12473</v>
      </c>
      <c r="E56" s="1">
        <v>22740</v>
      </c>
      <c r="F56" t="str">
        <f>VLOOKUP(Orders[[#This Row],[Product ID]],Products[],2,0)</f>
        <v>Polkadot Pen</v>
      </c>
      <c r="G56" s="1">
        <v>48</v>
      </c>
      <c r="H56" s="19">
        <v>0.85</v>
      </c>
      <c r="I56" s="19">
        <v>40.799999999999997</v>
      </c>
    </row>
    <row r="57" spans="1:9" x14ac:dyDescent="0.3">
      <c r="A57" s="1">
        <v>555162</v>
      </c>
      <c r="B57" s="2">
        <v>43617</v>
      </c>
      <c r="C57" t="s">
        <v>5</v>
      </c>
      <c r="D57" s="1">
        <v>12473</v>
      </c>
      <c r="E57" s="1">
        <v>22741</v>
      </c>
      <c r="F57" t="str">
        <f>VLOOKUP(Orders[[#This Row],[Product ID]],Products[],2,0)</f>
        <v>Funky Diva Pen</v>
      </c>
      <c r="G57" s="1">
        <v>48</v>
      </c>
      <c r="H57" s="19">
        <v>0.85</v>
      </c>
      <c r="I57" s="19">
        <v>40.799999999999997</v>
      </c>
    </row>
    <row r="58" spans="1:9" x14ac:dyDescent="0.3">
      <c r="A58" s="1">
        <v>555284</v>
      </c>
      <c r="B58" s="2">
        <v>43618</v>
      </c>
      <c r="C58" t="s">
        <v>2</v>
      </c>
      <c r="D58" s="1">
        <v>14298</v>
      </c>
      <c r="E58" s="1">
        <v>62018</v>
      </c>
      <c r="F58" t="str">
        <f>VLOOKUP(Orders[[#This Row],[Product ID]],Products[],2,0)</f>
        <v xml:space="preserve">Sombrero </v>
      </c>
      <c r="G58" s="1">
        <v>48</v>
      </c>
      <c r="H58" s="19">
        <v>1.25</v>
      </c>
      <c r="I58" s="19">
        <v>60</v>
      </c>
    </row>
    <row r="59" spans="1:9" x14ac:dyDescent="0.3">
      <c r="A59" s="1">
        <v>555572</v>
      </c>
      <c r="B59" s="2">
        <v>43621</v>
      </c>
      <c r="C59" t="s">
        <v>11</v>
      </c>
      <c r="D59" s="1">
        <v>12449</v>
      </c>
      <c r="E59" s="1">
        <v>21888</v>
      </c>
      <c r="F59" t="str">
        <f>VLOOKUP(Orders[[#This Row],[Product ID]],Products[],2,0)</f>
        <v>Bingo Set</v>
      </c>
      <c r="G59" s="1">
        <v>4</v>
      </c>
      <c r="H59" s="19">
        <v>3.75</v>
      </c>
      <c r="I59" s="19">
        <v>15</v>
      </c>
    </row>
    <row r="60" spans="1:9" x14ac:dyDescent="0.3">
      <c r="A60" s="1">
        <v>555637</v>
      </c>
      <c r="B60" s="2">
        <v>43622</v>
      </c>
      <c r="C60" t="s">
        <v>3</v>
      </c>
      <c r="D60" s="1">
        <v>12535</v>
      </c>
      <c r="E60" s="1">
        <v>21116</v>
      </c>
      <c r="F60" t="str">
        <f>VLOOKUP(Orders[[#This Row],[Product ID]],Products[],2,0)</f>
        <v>Owl Doorstop</v>
      </c>
      <c r="G60" s="1">
        <v>3</v>
      </c>
      <c r="H60" s="19">
        <v>4.95</v>
      </c>
      <c r="I60" s="19">
        <v>14.850000000000001</v>
      </c>
    </row>
    <row r="61" spans="1:9" x14ac:dyDescent="0.3">
      <c r="A61" s="1">
        <v>556258</v>
      </c>
      <c r="B61" s="2">
        <v>43625</v>
      </c>
      <c r="C61" t="s">
        <v>3</v>
      </c>
      <c r="D61" s="1">
        <v>12694</v>
      </c>
      <c r="E61" s="1">
        <v>21888</v>
      </c>
      <c r="F61" t="str">
        <f>VLOOKUP(Orders[[#This Row],[Product ID]],Products[],2,0)</f>
        <v>Bingo Set</v>
      </c>
      <c r="G61" s="1">
        <v>4</v>
      </c>
      <c r="H61" s="19">
        <v>3.75</v>
      </c>
      <c r="I61" s="19">
        <v>15</v>
      </c>
    </row>
    <row r="62" spans="1:9" x14ac:dyDescent="0.3">
      <c r="A62" s="1">
        <v>557007</v>
      </c>
      <c r="B62" s="2">
        <v>43632</v>
      </c>
      <c r="C62" t="s">
        <v>8</v>
      </c>
      <c r="D62" s="1">
        <v>12484</v>
      </c>
      <c r="E62" s="1">
        <v>22197</v>
      </c>
      <c r="F62" t="str">
        <f>VLOOKUP(Orders[[#This Row],[Product ID]],Products[],2,0)</f>
        <v>Popcorn Holder</v>
      </c>
      <c r="G62" s="1">
        <v>5</v>
      </c>
      <c r="H62" s="19">
        <v>0.85</v>
      </c>
      <c r="I62" s="19">
        <v>4.25</v>
      </c>
    </row>
    <row r="63" spans="1:9" x14ac:dyDescent="0.3">
      <c r="A63" s="1">
        <v>557466</v>
      </c>
      <c r="B63" s="2">
        <v>43636</v>
      </c>
      <c r="C63" t="s">
        <v>5</v>
      </c>
      <c r="D63" s="1">
        <v>13815</v>
      </c>
      <c r="E63" s="1">
        <v>22740</v>
      </c>
      <c r="F63" t="str">
        <f>VLOOKUP(Orders[[#This Row],[Product ID]],Products[],2,0)</f>
        <v>Polkadot Pen</v>
      </c>
      <c r="G63" s="1">
        <v>48</v>
      </c>
      <c r="H63" s="19">
        <v>0.85</v>
      </c>
      <c r="I63" s="19">
        <v>40.799999999999997</v>
      </c>
    </row>
    <row r="64" spans="1:9" x14ac:dyDescent="0.3">
      <c r="A64" s="1">
        <v>557509</v>
      </c>
      <c r="B64" s="2">
        <v>43636</v>
      </c>
      <c r="C64" t="s">
        <v>2</v>
      </c>
      <c r="D64" s="1">
        <v>15389</v>
      </c>
      <c r="E64" s="1">
        <v>62018</v>
      </c>
      <c r="F64" t="str">
        <f>VLOOKUP(Orders[[#This Row],[Product ID]],Products[],2,0)</f>
        <v xml:space="preserve">Sombrero </v>
      </c>
      <c r="G64" s="1">
        <v>400</v>
      </c>
      <c r="H64" s="19">
        <v>1.25</v>
      </c>
      <c r="I64" s="19">
        <v>500</v>
      </c>
    </row>
    <row r="65" spans="1:9" x14ac:dyDescent="0.3">
      <c r="A65" s="1">
        <v>557525</v>
      </c>
      <c r="B65" s="2">
        <v>43637</v>
      </c>
      <c r="C65" t="s">
        <v>4</v>
      </c>
      <c r="D65" s="1">
        <v>12759</v>
      </c>
      <c r="E65" s="1">
        <v>21260</v>
      </c>
      <c r="F65" t="str">
        <f>VLOOKUP(Orders[[#This Row],[Product ID]],Products[],2,0)</f>
        <v>First Aid Tin</v>
      </c>
      <c r="G65" s="1">
        <v>6</v>
      </c>
      <c r="H65" s="19">
        <v>3.25</v>
      </c>
      <c r="I65" s="19">
        <v>19.5</v>
      </c>
    </row>
    <row r="66" spans="1:9" x14ac:dyDescent="0.3">
      <c r="A66" s="1">
        <v>557789</v>
      </c>
      <c r="B66" s="2">
        <v>43638</v>
      </c>
      <c r="C66" t="s">
        <v>11</v>
      </c>
      <c r="D66" s="1">
        <v>12379</v>
      </c>
      <c r="E66" s="1">
        <v>22740</v>
      </c>
      <c r="F66" t="str">
        <f>VLOOKUP(Orders[[#This Row],[Product ID]],Products[],2,0)</f>
        <v>Polkadot Pen</v>
      </c>
      <c r="G66" s="1">
        <v>48</v>
      </c>
      <c r="H66" s="19">
        <v>0.85</v>
      </c>
      <c r="I66" s="19">
        <v>40.799999999999997</v>
      </c>
    </row>
    <row r="67" spans="1:9" x14ac:dyDescent="0.3">
      <c r="A67" s="1">
        <v>557885</v>
      </c>
      <c r="B67" s="2">
        <v>43639</v>
      </c>
      <c r="C67" t="s">
        <v>11</v>
      </c>
      <c r="D67" s="1">
        <v>12465</v>
      </c>
      <c r="E67" s="1">
        <v>22740</v>
      </c>
      <c r="F67" t="str">
        <f>VLOOKUP(Orders[[#This Row],[Product ID]],Products[],2,0)</f>
        <v>Polkadot Pen</v>
      </c>
      <c r="G67" s="1">
        <v>48</v>
      </c>
      <c r="H67" s="19">
        <v>0.85</v>
      </c>
      <c r="I67" s="19">
        <v>40.799999999999997</v>
      </c>
    </row>
    <row r="68" spans="1:9" x14ac:dyDescent="0.3">
      <c r="A68" s="1">
        <v>558262</v>
      </c>
      <c r="B68" s="2">
        <v>43644</v>
      </c>
      <c r="C68" t="s">
        <v>4</v>
      </c>
      <c r="D68" s="1">
        <v>14646</v>
      </c>
      <c r="E68" s="1">
        <v>20713</v>
      </c>
      <c r="F68" t="str">
        <f>VLOOKUP(Orders[[#This Row],[Product ID]],Products[],2,0)</f>
        <v>Jumbo Bag Owls</v>
      </c>
      <c r="G68" s="1">
        <v>200</v>
      </c>
      <c r="H68" s="19">
        <v>1.79</v>
      </c>
      <c r="I68" s="19">
        <v>358</v>
      </c>
    </row>
    <row r="69" spans="1:9" x14ac:dyDescent="0.3">
      <c r="A69" s="1">
        <v>558628</v>
      </c>
      <c r="B69" s="2">
        <v>43646</v>
      </c>
      <c r="C69" t="s">
        <v>5</v>
      </c>
      <c r="D69" s="1">
        <v>12626</v>
      </c>
      <c r="E69" s="1">
        <v>20713</v>
      </c>
      <c r="F69" t="str">
        <f>VLOOKUP(Orders[[#This Row],[Product ID]],Products[],2,0)</f>
        <v>Jumbo Bag Owls</v>
      </c>
      <c r="G69" s="1">
        <v>10</v>
      </c>
      <c r="H69" s="19">
        <v>2.08</v>
      </c>
      <c r="I69" s="19">
        <v>20.8</v>
      </c>
    </row>
    <row r="70" spans="1:9" x14ac:dyDescent="0.3">
      <c r="A70" s="1">
        <v>559036</v>
      </c>
      <c r="B70" s="2">
        <v>43651</v>
      </c>
      <c r="C70" t="s">
        <v>3</v>
      </c>
      <c r="D70" s="1">
        <v>12637</v>
      </c>
      <c r="E70" s="1">
        <v>22174</v>
      </c>
      <c r="F70" t="str">
        <f>VLOOKUP(Orders[[#This Row],[Product ID]],Products[],2,0)</f>
        <v>Photo Cube</v>
      </c>
      <c r="G70" s="1">
        <v>12</v>
      </c>
      <c r="H70" s="19">
        <v>1.65</v>
      </c>
      <c r="I70" s="19">
        <v>19.799999999999997</v>
      </c>
    </row>
    <row r="71" spans="1:9" x14ac:dyDescent="0.3">
      <c r="A71" s="1">
        <v>559366</v>
      </c>
      <c r="B71" s="2">
        <v>43654</v>
      </c>
      <c r="C71" t="s">
        <v>2</v>
      </c>
      <c r="D71" s="1">
        <v>13102</v>
      </c>
      <c r="E71" s="1">
        <v>22197</v>
      </c>
      <c r="F71" t="str">
        <f>VLOOKUP(Orders[[#This Row],[Product ID]],Products[],2,0)</f>
        <v>Popcorn Holder</v>
      </c>
      <c r="G71" s="1">
        <v>24</v>
      </c>
      <c r="H71" s="19">
        <v>0.85</v>
      </c>
      <c r="I71" s="19">
        <v>20.399999999999999</v>
      </c>
    </row>
    <row r="72" spans="1:9" x14ac:dyDescent="0.3">
      <c r="A72" s="1">
        <v>559418</v>
      </c>
      <c r="B72" s="2">
        <v>43654</v>
      </c>
      <c r="C72" t="s">
        <v>3</v>
      </c>
      <c r="D72" s="1">
        <v>12681</v>
      </c>
      <c r="E72" s="1">
        <v>22197</v>
      </c>
      <c r="F72" t="str">
        <f>VLOOKUP(Orders[[#This Row],[Product ID]],Products[],2,0)</f>
        <v>Popcorn Holder</v>
      </c>
      <c r="G72" s="1">
        <v>12</v>
      </c>
      <c r="H72" s="19">
        <v>0.85</v>
      </c>
      <c r="I72" s="19">
        <v>10.199999999999999</v>
      </c>
    </row>
    <row r="73" spans="1:9" x14ac:dyDescent="0.3">
      <c r="A73" s="1">
        <v>559550</v>
      </c>
      <c r="B73" s="2">
        <v>43656</v>
      </c>
      <c r="C73" t="s">
        <v>2</v>
      </c>
      <c r="D73" s="1">
        <v>17757</v>
      </c>
      <c r="E73" s="1">
        <v>22197</v>
      </c>
      <c r="F73" t="str">
        <f>VLOOKUP(Orders[[#This Row],[Product ID]],Products[],2,0)</f>
        <v>Popcorn Holder</v>
      </c>
      <c r="G73" s="1">
        <v>10</v>
      </c>
      <c r="H73" s="19">
        <v>0.85</v>
      </c>
      <c r="I73" s="19">
        <v>8.5</v>
      </c>
    </row>
    <row r="74" spans="1:9" x14ac:dyDescent="0.3">
      <c r="A74" s="1">
        <v>559665</v>
      </c>
      <c r="B74" s="2">
        <v>43657</v>
      </c>
      <c r="C74" t="s">
        <v>8</v>
      </c>
      <c r="D74" s="1">
        <v>12556</v>
      </c>
      <c r="E74" s="1">
        <v>22197</v>
      </c>
      <c r="F74" t="str">
        <f>VLOOKUP(Orders[[#This Row],[Product ID]],Products[],2,0)</f>
        <v>Popcorn Holder</v>
      </c>
      <c r="G74" s="1">
        <v>4</v>
      </c>
      <c r="H74" s="19">
        <v>0.85</v>
      </c>
      <c r="I74" s="19">
        <v>3.4</v>
      </c>
    </row>
    <row r="75" spans="1:9" x14ac:dyDescent="0.3">
      <c r="A75" s="1">
        <v>559862</v>
      </c>
      <c r="B75" s="2">
        <v>43659</v>
      </c>
      <c r="C75" t="s">
        <v>9</v>
      </c>
      <c r="D75" s="1">
        <v>12782</v>
      </c>
      <c r="E75" s="1">
        <v>22740</v>
      </c>
      <c r="F75" t="str">
        <f>VLOOKUP(Orders[[#This Row],[Product ID]],Products[],2,0)</f>
        <v>Polkadot Pen</v>
      </c>
      <c r="G75" s="1">
        <v>48</v>
      </c>
      <c r="H75" s="19">
        <v>0.85</v>
      </c>
      <c r="I75" s="19">
        <v>40.799999999999997</v>
      </c>
    </row>
    <row r="76" spans="1:9" x14ac:dyDescent="0.3">
      <c r="A76" s="1">
        <v>559907</v>
      </c>
      <c r="B76" s="2">
        <v>43659</v>
      </c>
      <c r="C76" t="s">
        <v>9</v>
      </c>
      <c r="D76" s="1">
        <v>12766</v>
      </c>
      <c r="E76" s="1">
        <v>22740</v>
      </c>
      <c r="F76" t="str">
        <f>VLOOKUP(Orders[[#This Row],[Product ID]],Products[],2,0)</f>
        <v>Polkadot Pen</v>
      </c>
      <c r="G76" s="1">
        <v>96</v>
      </c>
      <c r="H76" s="19">
        <v>0.85</v>
      </c>
      <c r="I76" s="19">
        <v>81.599999999999994</v>
      </c>
    </row>
    <row r="77" spans="1:9" x14ac:dyDescent="0.3">
      <c r="A77" s="1">
        <v>560211</v>
      </c>
      <c r="B77" s="2">
        <v>43661</v>
      </c>
      <c r="C77" t="s">
        <v>5</v>
      </c>
      <c r="D77" s="1">
        <v>12621</v>
      </c>
      <c r="E77" s="1">
        <v>20713</v>
      </c>
      <c r="F77" t="str">
        <f>VLOOKUP(Orders[[#This Row],[Product ID]],Products[],2,0)</f>
        <v>Jumbo Bag Owls</v>
      </c>
      <c r="G77" s="1">
        <v>10</v>
      </c>
      <c r="H77" s="19">
        <v>2.08</v>
      </c>
      <c r="I77" s="19">
        <v>20.8</v>
      </c>
    </row>
    <row r="78" spans="1:9" x14ac:dyDescent="0.3">
      <c r="A78" s="1">
        <v>560590</v>
      </c>
      <c r="B78" s="2">
        <v>43665</v>
      </c>
      <c r="C78" t="s">
        <v>5</v>
      </c>
      <c r="D78" s="1">
        <v>12560</v>
      </c>
      <c r="E78" s="1">
        <v>22740</v>
      </c>
      <c r="F78" t="str">
        <f>VLOOKUP(Orders[[#This Row],[Product ID]],Products[],2,0)</f>
        <v>Polkadot Pen</v>
      </c>
      <c r="G78" s="1">
        <v>48</v>
      </c>
      <c r="H78" s="19">
        <v>0.85</v>
      </c>
      <c r="I78" s="19">
        <v>40.799999999999997</v>
      </c>
    </row>
    <row r="79" spans="1:9" x14ac:dyDescent="0.3">
      <c r="A79" s="1">
        <v>560694</v>
      </c>
      <c r="B79" s="2">
        <v>43666</v>
      </c>
      <c r="C79" t="s">
        <v>9</v>
      </c>
      <c r="D79" s="1">
        <v>12757</v>
      </c>
      <c r="E79" s="1">
        <v>20713</v>
      </c>
      <c r="F79" t="str">
        <f>VLOOKUP(Orders[[#This Row],[Product ID]],Products[],2,0)</f>
        <v>Jumbo Bag Owls</v>
      </c>
      <c r="G79" s="1">
        <v>10</v>
      </c>
      <c r="H79" s="19">
        <v>2.08</v>
      </c>
      <c r="I79" s="19">
        <v>20.8</v>
      </c>
    </row>
    <row r="80" spans="1:9" x14ac:dyDescent="0.3">
      <c r="A80" s="1">
        <v>560901</v>
      </c>
      <c r="B80" s="2">
        <v>43667</v>
      </c>
      <c r="C80" t="s">
        <v>5</v>
      </c>
      <c r="D80" s="1">
        <v>12476</v>
      </c>
      <c r="E80" s="1">
        <v>21116</v>
      </c>
      <c r="F80" t="str">
        <f>VLOOKUP(Orders[[#This Row],[Product ID]],Products[],2,0)</f>
        <v>Owl Doorstop</v>
      </c>
      <c r="G80" s="1">
        <v>3</v>
      </c>
      <c r="H80" s="19">
        <v>4.95</v>
      </c>
      <c r="I80" s="19">
        <v>14.850000000000001</v>
      </c>
    </row>
    <row r="81" spans="1:9" x14ac:dyDescent="0.3">
      <c r="A81" s="1">
        <v>561066</v>
      </c>
      <c r="B81" s="2">
        <v>43670</v>
      </c>
      <c r="C81" t="s">
        <v>2</v>
      </c>
      <c r="D81" s="1">
        <v>16710</v>
      </c>
      <c r="E81" s="1">
        <v>22197</v>
      </c>
      <c r="F81" t="str">
        <f>VLOOKUP(Orders[[#This Row],[Product ID]],Products[],2,0)</f>
        <v>Popcorn Holder</v>
      </c>
      <c r="G81" s="1">
        <v>12</v>
      </c>
      <c r="H81" s="19">
        <v>0.85</v>
      </c>
      <c r="I81" s="19">
        <v>10.199999999999999</v>
      </c>
    </row>
    <row r="82" spans="1:9" x14ac:dyDescent="0.3">
      <c r="A82" s="1">
        <v>561093</v>
      </c>
      <c r="B82" s="2">
        <v>43671</v>
      </c>
      <c r="C82" t="s">
        <v>8</v>
      </c>
      <c r="D82" s="1">
        <v>12540</v>
      </c>
      <c r="E82" s="1">
        <v>21116</v>
      </c>
      <c r="F82" t="str">
        <f>VLOOKUP(Orders[[#This Row],[Product ID]],Products[],2,0)</f>
        <v>Owl Doorstop</v>
      </c>
      <c r="G82" s="1">
        <v>6</v>
      </c>
      <c r="H82" s="19">
        <v>4.95</v>
      </c>
      <c r="I82" s="19">
        <v>29.700000000000003</v>
      </c>
    </row>
    <row r="83" spans="1:9" x14ac:dyDescent="0.3">
      <c r="A83" s="1">
        <v>561093</v>
      </c>
      <c r="B83" s="2">
        <v>43671</v>
      </c>
      <c r="C83" t="s">
        <v>8</v>
      </c>
      <c r="D83" s="1">
        <v>12540</v>
      </c>
      <c r="E83" s="1">
        <v>22740</v>
      </c>
      <c r="F83" t="str">
        <f>VLOOKUP(Orders[[#This Row],[Product ID]],Products[],2,0)</f>
        <v>Polkadot Pen</v>
      </c>
      <c r="G83" s="1">
        <v>48</v>
      </c>
      <c r="H83" s="19">
        <v>0.85</v>
      </c>
      <c r="I83" s="19">
        <v>40.799999999999997</v>
      </c>
    </row>
    <row r="84" spans="1:9" x14ac:dyDescent="0.3">
      <c r="A84" s="1">
        <v>561902</v>
      </c>
      <c r="B84" s="2">
        <v>43677</v>
      </c>
      <c r="C84" t="s">
        <v>13</v>
      </c>
      <c r="D84" s="1">
        <v>17404</v>
      </c>
      <c r="E84" s="1">
        <v>21260</v>
      </c>
      <c r="F84" t="str">
        <f>VLOOKUP(Orders[[#This Row],[Product ID]],Products[],2,0)</f>
        <v>First Aid Tin</v>
      </c>
      <c r="G84" s="1">
        <v>48</v>
      </c>
      <c r="H84" s="19">
        <v>3.25</v>
      </c>
      <c r="I84" s="19">
        <v>156</v>
      </c>
    </row>
    <row r="85" spans="1:9" x14ac:dyDescent="0.3">
      <c r="A85" s="1">
        <v>562605</v>
      </c>
      <c r="B85" s="2">
        <v>43685</v>
      </c>
      <c r="C85" t="s">
        <v>5</v>
      </c>
      <c r="D85" s="1">
        <v>12530</v>
      </c>
      <c r="E85" s="1">
        <v>20713</v>
      </c>
      <c r="F85" t="str">
        <f>VLOOKUP(Orders[[#This Row],[Product ID]],Products[],2,0)</f>
        <v>Jumbo Bag Owls</v>
      </c>
      <c r="G85" s="1">
        <v>10</v>
      </c>
      <c r="H85" s="19">
        <v>2.08</v>
      </c>
      <c r="I85" s="19">
        <v>20.8</v>
      </c>
    </row>
    <row r="86" spans="1:9" x14ac:dyDescent="0.3">
      <c r="A86" s="1">
        <v>562789</v>
      </c>
      <c r="B86" s="2">
        <v>43686</v>
      </c>
      <c r="C86" t="s">
        <v>4</v>
      </c>
      <c r="D86" s="1">
        <v>14646</v>
      </c>
      <c r="E86" s="1">
        <v>20713</v>
      </c>
      <c r="F86" t="str">
        <f>VLOOKUP(Orders[[#This Row],[Product ID]],Products[],2,0)</f>
        <v>Jumbo Bag Owls</v>
      </c>
      <c r="G86" s="1">
        <v>100</v>
      </c>
      <c r="H86" s="19">
        <v>1.79</v>
      </c>
      <c r="I86" s="19">
        <v>179</v>
      </c>
    </row>
    <row r="87" spans="1:9" x14ac:dyDescent="0.3">
      <c r="A87" s="1">
        <v>563749</v>
      </c>
      <c r="B87" s="2">
        <v>43696</v>
      </c>
      <c r="C87" t="s">
        <v>15</v>
      </c>
      <c r="D87" s="1">
        <v>12360</v>
      </c>
      <c r="E87" s="1">
        <v>20713</v>
      </c>
      <c r="F87" t="str">
        <f>VLOOKUP(Orders[[#This Row],[Product ID]],Products[],2,0)</f>
        <v>Jumbo Bag Owls</v>
      </c>
      <c r="G87" s="1">
        <v>10</v>
      </c>
      <c r="H87" s="19">
        <v>2.08</v>
      </c>
      <c r="I87" s="19">
        <v>20.8</v>
      </c>
    </row>
    <row r="88" spans="1:9" x14ac:dyDescent="0.3">
      <c r="A88" s="1">
        <v>563756</v>
      </c>
      <c r="B88" s="2">
        <v>43696</v>
      </c>
      <c r="C88" t="s">
        <v>7</v>
      </c>
      <c r="D88" s="1">
        <v>12418</v>
      </c>
      <c r="E88" s="1">
        <v>21888</v>
      </c>
      <c r="F88" t="str">
        <f>VLOOKUP(Orders[[#This Row],[Product ID]],Products[],2,0)</f>
        <v>Bingo Set</v>
      </c>
      <c r="G88" s="1">
        <v>4</v>
      </c>
      <c r="H88" s="19">
        <v>3.75</v>
      </c>
      <c r="I88" s="19">
        <v>15</v>
      </c>
    </row>
    <row r="89" spans="1:9" x14ac:dyDescent="0.3">
      <c r="A89" s="1">
        <v>563808</v>
      </c>
      <c r="B89" s="2">
        <v>43696</v>
      </c>
      <c r="C89" t="s">
        <v>5</v>
      </c>
      <c r="D89" s="1">
        <v>12626</v>
      </c>
      <c r="E89" s="1">
        <v>20713</v>
      </c>
      <c r="F89" t="str">
        <f>VLOOKUP(Orders[[#This Row],[Product ID]],Products[],2,0)</f>
        <v>Jumbo Bag Owls</v>
      </c>
      <c r="G89" s="1">
        <v>20</v>
      </c>
      <c r="H89" s="19">
        <v>2.08</v>
      </c>
      <c r="I89" s="19">
        <v>41.6</v>
      </c>
    </row>
    <row r="90" spans="1:9" x14ac:dyDescent="0.3">
      <c r="A90" s="1">
        <v>563950</v>
      </c>
      <c r="B90" s="2">
        <v>43699</v>
      </c>
      <c r="C90" t="s">
        <v>5</v>
      </c>
      <c r="D90" s="1">
        <v>12471</v>
      </c>
      <c r="E90" s="1">
        <v>22741</v>
      </c>
      <c r="F90" t="str">
        <f>VLOOKUP(Orders[[#This Row],[Product ID]],Products[],2,0)</f>
        <v>Funky Diva Pen</v>
      </c>
      <c r="G90" s="1">
        <v>96</v>
      </c>
      <c r="H90" s="19">
        <v>0.85</v>
      </c>
      <c r="I90" s="19">
        <v>81.599999999999994</v>
      </c>
    </row>
    <row r="91" spans="1:9" x14ac:dyDescent="0.3">
      <c r="A91" s="1">
        <v>564140</v>
      </c>
      <c r="B91" s="2">
        <v>43700</v>
      </c>
      <c r="C91" t="s">
        <v>5</v>
      </c>
      <c r="D91" s="1">
        <v>12621</v>
      </c>
      <c r="E91" s="1">
        <v>21116</v>
      </c>
      <c r="F91" t="str">
        <f>VLOOKUP(Orders[[#This Row],[Product ID]],Products[],2,0)</f>
        <v>Owl Doorstop</v>
      </c>
      <c r="G91" s="1">
        <v>3</v>
      </c>
      <c r="H91" s="19">
        <v>4.95</v>
      </c>
      <c r="I91" s="19">
        <v>14.850000000000001</v>
      </c>
    </row>
    <row r="92" spans="1:9" x14ac:dyDescent="0.3">
      <c r="A92" s="1">
        <v>564328</v>
      </c>
      <c r="B92" s="2">
        <v>43701</v>
      </c>
      <c r="C92" t="s">
        <v>5</v>
      </c>
      <c r="D92" s="1">
        <v>12662</v>
      </c>
      <c r="E92" s="1">
        <v>20713</v>
      </c>
      <c r="F92" t="str">
        <f>VLOOKUP(Orders[[#This Row],[Product ID]],Products[],2,0)</f>
        <v>Jumbo Bag Owls</v>
      </c>
      <c r="G92" s="1">
        <v>10</v>
      </c>
      <c r="H92" s="19">
        <v>2.08</v>
      </c>
      <c r="I92" s="19">
        <v>20.8</v>
      </c>
    </row>
    <row r="93" spans="1:9" x14ac:dyDescent="0.3">
      <c r="A93" s="1">
        <v>564360</v>
      </c>
      <c r="B93" s="2">
        <v>43701</v>
      </c>
      <c r="C93" t="s">
        <v>5</v>
      </c>
      <c r="D93" s="1">
        <v>12471</v>
      </c>
      <c r="E93" s="1">
        <v>22741</v>
      </c>
      <c r="F93" t="str">
        <f>VLOOKUP(Orders[[#This Row],[Product ID]],Products[],2,0)</f>
        <v>Funky Diva Pen</v>
      </c>
      <c r="G93" s="1">
        <v>96</v>
      </c>
      <c r="H93" s="19">
        <v>0.85</v>
      </c>
      <c r="I93" s="19">
        <v>81.599999999999994</v>
      </c>
    </row>
    <row r="94" spans="1:9" x14ac:dyDescent="0.3">
      <c r="A94" s="1">
        <v>564438</v>
      </c>
      <c r="B94" s="2">
        <v>43702</v>
      </c>
      <c r="C94" t="s">
        <v>2</v>
      </c>
      <c r="D94" s="1">
        <v>16628</v>
      </c>
      <c r="E94" s="1">
        <v>20713</v>
      </c>
      <c r="F94" t="str">
        <f>VLOOKUP(Orders[[#This Row],[Product ID]],Products[],2,0)</f>
        <v>Jumbo Bag Owls</v>
      </c>
      <c r="G94" s="1">
        <v>20</v>
      </c>
      <c r="H94" s="19">
        <v>2.08</v>
      </c>
      <c r="I94" s="19">
        <v>41.6</v>
      </c>
    </row>
    <row r="95" spans="1:9" x14ac:dyDescent="0.3">
      <c r="A95" s="1">
        <v>564479</v>
      </c>
      <c r="B95" s="2">
        <v>43702</v>
      </c>
      <c r="C95" t="s">
        <v>3</v>
      </c>
      <c r="D95" s="1">
        <v>12682</v>
      </c>
      <c r="E95" s="1">
        <v>22197</v>
      </c>
      <c r="F95" t="str">
        <f>VLOOKUP(Orders[[#This Row],[Product ID]],Products[],2,0)</f>
        <v>Popcorn Holder</v>
      </c>
      <c r="G95" s="1">
        <v>12</v>
      </c>
      <c r="H95" s="19">
        <v>0.85</v>
      </c>
      <c r="I95" s="19">
        <v>10.199999999999999</v>
      </c>
    </row>
    <row r="96" spans="1:9" x14ac:dyDescent="0.3">
      <c r="A96" s="1">
        <v>564539</v>
      </c>
      <c r="B96" s="2">
        <v>43702</v>
      </c>
      <c r="C96" t="s">
        <v>13</v>
      </c>
      <c r="D96" s="1">
        <v>12715</v>
      </c>
      <c r="E96" s="1">
        <v>20713</v>
      </c>
      <c r="F96" t="str">
        <f>VLOOKUP(Orders[[#This Row],[Product ID]],Products[],2,0)</f>
        <v>Jumbo Bag Owls</v>
      </c>
      <c r="G96" s="1">
        <v>10</v>
      </c>
      <c r="H96" s="19">
        <v>2.08</v>
      </c>
      <c r="I96" s="19">
        <v>20.8</v>
      </c>
    </row>
    <row r="97" spans="1:9" x14ac:dyDescent="0.3">
      <c r="A97" s="1">
        <v>564734</v>
      </c>
      <c r="B97" s="2">
        <v>43705</v>
      </c>
      <c r="C97" t="s">
        <v>8</v>
      </c>
      <c r="D97" s="1">
        <v>12484</v>
      </c>
      <c r="E97" s="1">
        <v>22197</v>
      </c>
      <c r="F97" t="str">
        <f>VLOOKUP(Orders[[#This Row],[Product ID]],Products[],2,0)</f>
        <v>Popcorn Holder</v>
      </c>
      <c r="G97" s="1">
        <v>18</v>
      </c>
      <c r="H97" s="19">
        <v>0.85</v>
      </c>
      <c r="I97" s="19">
        <v>15.299999999999999</v>
      </c>
    </row>
    <row r="98" spans="1:9" x14ac:dyDescent="0.3">
      <c r="A98" s="1">
        <v>564965</v>
      </c>
      <c r="B98" s="2">
        <v>43708</v>
      </c>
      <c r="C98" t="s">
        <v>2</v>
      </c>
      <c r="D98" s="1">
        <v>17677</v>
      </c>
      <c r="E98" s="1">
        <v>22197</v>
      </c>
      <c r="F98" t="str">
        <f>VLOOKUP(Orders[[#This Row],[Product ID]],Products[],2,0)</f>
        <v>Popcorn Holder</v>
      </c>
      <c r="G98" s="1">
        <v>12</v>
      </c>
      <c r="H98" s="19">
        <v>0.85</v>
      </c>
      <c r="I98" s="19">
        <v>10.199999999999999</v>
      </c>
    </row>
    <row r="99" spans="1:9" x14ac:dyDescent="0.3">
      <c r="A99" s="1">
        <v>565333</v>
      </c>
      <c r="B99" s="2">
        <v>43710</v>
      </c>
      <c r="C99" t="s">
        <v>14</v>
      </c>
      <c r="D99" s="1">
        <v>12375</v>
      </c>
      <c r="E99" s="1">
        <v>20713</v>
      </c>
      <c r="F99" t="str">
        <f>VLOOKUP(Orders[[#This Row],[Product ID]],Products[],2,0)</f>
        <v>Jumbo Bag Owls</v>
      </c>
      <c r="G99" s="1">
        <v>10</v>
      </c>
      <c r="H99" s="19">
        <v>2.08</v>
      </c>
      <c r="I99" s="19">
        <v>20.8</v>
      </c>
    </row>
    <row r="100" spans="1:9" x14ac:dyDescent="0.3">
      <c r="A100" s="1">
        <v>565386</v>
      </c>
      <c r="B100" s="2">
        <v>43710</v>
      </c>
      <c r="C100" t="s">
        <v>2</v>
      </c>
      <c r="D100" s="1">
        <v>17997</v>
      </c>
      <c r="E100" s="1">
        <v>22174</v>
      </c>
      <c r="F100" t="str">
        <f>VLOOKUP(Orders[[#This Row],[Product ID]],Products[],2,0)</f>
        <v>Photo Cube</v>
      </c>
      <c r="G100" s="1">
        <v>6</v>
      </c>
      <c r="H100" s="19">
        <v>1.65</v>
      </c>
      <c r="I100" s="19">
        <v>9.8999999999999986</v>
      </c>
    </row>
    <row r="101" spans="1:9" x14ac:dyDescent="0.3">
      <c r="A101" s="1">
        <v>565416</v>
      </c>
      <c r="B101" s="2">
        <v>43712</v>
      </c>
      <c r="C101" t="s">
        <v>5</v>
      </c>
      <c r="D101" s="1">
        <v>12710</v>
      </c>
      <c r="E101" s="1">
        <v>22197</v>
      </c>
      <c r="F101" t="str">
        <f>VLOOKUP(Orders[[#This Row],[Product ID]],Products[],2,0)</f>
        <v>Popcorn Holder</v>
      </c>
      <c r="G101" s="1">
        <v>12</v>
      </c>
      <c r="H101" s="19">
        <v>0.85</v>
      </c>
      <c r="I101" s="19">
        <v>10.199999999999999</v>
      </c>
    </row>
    <row r="102" spans="1:9" x14ac:dyDescent="0.3">
      <c r="A102" s="1">
        <v>565430</v>
      </c>
      <c r="B102" s="2">
        <v>43712</v>
      </c>
      <c r="C102" t="s">
        <v>5</v>
      </c>
      <c r="D102" s="1">
        <v>14335</v>
      </c>
      <c r="E102" s="1">
        <v>22174</v>
      </c>
      <c r="F102" t="str">
        <f>VLOOKUP(Orders[[#This Row],[Product ID]],Products[],2,0)</f>
        <v>Photo Cube</v>
      </c>
      <c r="G102" s="1">
        <v>12</v>
      </c>
      <c r="H102" s="19">
        <v>1.65</v>
      </c>
      <c r="I102" s="19">
        <v>19.799999999999997</v>
      </c>
    </row>
    <row r="103" spans="1:9" x14ac:dyDescent="0.3">
      <c r="A103" s="1">
        <v>565519</v>
      </c>
      <c r="B103" s="2">
        <v>43713</v>
      </c>
      <c r="C103" t="s">
        <v>8</v>
      </c>
      <c r="D103" s="1">
        <v>12502</v>
      </c>
      <c r="E103" s="1">
        <v>22741</v>
      </c>
      <c r="F103" t="str">
        <f>VLOOKUP(Orders[[#This Row],[Product ID]],Products[],2,0)</f>
        <v>Funky Diva Pen</v>
      </c>
      <c r="G103" s="1">
        <v>48</v>
      </c>
      <c r="H103" s="19">
        <v>0.85</v>
      </c>
      <c r="I103" s="19">
        <v>40.799999999999997</v>
      </c>
    </row>
    <row r="104" spans="1:9" x14ac:dyDescent="0.3">
      <c r="A104" s="1">
        <v>565765</v>
      </c>
      <c r="B104" s="2">
        <v>43714</v>
      </c>
      <c r="C104" t="s">
        <v>5</v>
      </c>
      <c r="D104" s="1">
        <v>12526</v>
      </c>
      <c r="E104" s="1">
        <v>20713</v>
      </c>
      <c r="F104" t="str">
        <f>VLOOKUP(Orders[[#This Row],[Product ID]],Products[],2,0)</f>
        <v>Jumbo Bag Owls</v>
      </c>
      <c r="G104" s="1">
        <v>10</v>
      </c>
      <c r="H104" s="19">
        <v>2.08</v>
      </c>
      <c r="I104" s="19">
        <v>20.8</v>
      </c>
    </row>
    <row r="105" spans="1:9" x14ac:dyDescent="0.3">
      <c r="A105" s="1">
        <v>565854</v>
      </c>
      <c r="B105" s="2">
        <v>43715</v>
      </c>
      <c r="C105" t="s">
        <v>3</v>
      </c>
      <c r="D105" s="1">
        <v>12490</v>
      </c>
      <c r="E105" s="1">
        <v>22197</v>
      </c>
      <c r="F105" t="str">
        <f>VLOOKUP(Orders[[#This Row],[Product ID]],Products[],2,0)</f>
        <v>Popcorn Holder</v>
      </c>
      <c r="G105" s="1">
        <v>36</v>
      </c>
      <c r="H105" s="19">
        <v>0.85</v>
      </c>
      <c r="I105" s="19">
        <v>30.599999999999998</v>
      </c>
    </row>
    <row r="106" spans="1:9" x14ac:dyDescent="0.3">
      <c r="A106" s="1">
        <v>565865</v>
      </c>
      <c r="B106" s="2">
        <v>43715</v>
      </c>
      <c r="C106" t="s">
        <v>3</v>
      </c>
      <c r="D106" s="1">
        <v>12637</v>
      </c>
      <c r="E106" s="1">
        <v>22174</v>
      </c>
      <c r="F106" t="str">
        <f>VLOOKUP(Orders[[#This Row],[Product ID]],Products[],2,0)</f>
        <v>Photo Cube</v>
      </c>
      <c r="G106" s="1">
        <v>12</v>
      </c>
      <c r="H106" s="19">
        <v>1.65</v>
      </c>
      <c r="I106" s="19">
        <v>19.799999999999997</v>
      </c>
    </row>
    <row r="107" spans="1:9" x14ac:dyDescent="0.3">
      <c r="A107" s="1">
        <v>565930</v>
      </c>
      <c r="B107" s="2">
        <v>43716</v>
      </c>
      <c r="C107" t="s">
        <v>3</v>
      </c>
      <c r="D107" s="1">
        <v>12685</v>
      </c>
      <c r="E107" s="1">
        <v>22174</v>
      </c>
      <c r="F107" t="str">
        <f>VLOOKUP(Orders[[#This Row],[Product ID]],Products[],2,0)</f>
        <v>Photo Cube</v>
      </c>
      <c r="G107" s="1">
        <v>12</v>
      </c>
      <c r="H107" s="19">
        <v>1.65</v>
      </c>
      <c r="I107" s="19">
        <v>19.799999999999997</v>
      </c>
    </row>
    <row r="108" spans="1:9" x14ac:dyDescent="0.3">
      <c r="A108" s="1">
        <v>565967</v>
      </c>
      <c r="B108" s="2">
        <v>43716</v>
      </c>
      <c r="C108" t="s">
        <v>4</v>
      </c>
      <c r="D108" s="1">
        <v>14646</v>
      </c>
      <c r="E108" s="1">
        <v>20713</v>
      </c>
      <c r="F108" t="str">
        <f>VLOOKUP(Orders[[#This Row],[Product ID]],Products[],2,0)</f>
        <v>Jumbo Bag Owls</v>
      </c>
      <c r="G108" s="1">
        <v>10</v>
      </c>
      <c r="H108" s="19">
        <v>2.08</v>
      </c>
      <c r="I108" s="19">
        <v>20.8</v>
      </c>
    </row>
    <row r="109" spans="1:9" x14ac:dyDescent="0.3">
      <c r="A109" s="1">
        <v>565967</v>
      </c>
      <c r="B109" s="2">
        <v>43716</v>
      </c>
      <c r="C109" t="s">
        <v>4</v>
      </c>
      <c r="D109" s="1">
        <v>14646</v>
      </c>
      <c r="E109" s="1">
        <v>22653</v>
      </c>
      <c r="F109" t="str">
        <f>VLOOKUP(Orders[[#This Row],[Product ID]],Products[],2,0)</f>
        <v xml:space="preserve">Button Box </v>
      </c>
      <c r="G109" s="1">
        <v>20</v>
      </c>
      <c r="H109" s="19">
        <v>1.95</v>
      </c>
      <c r="I109" s="19">
        <v>39</v>
      </c>
    </row>
    <row r="110" spans="1:9" x14ac:dyDescent="0.3">
      <c r="A110" s="1">
        <v>566076</v>
      </c>
      <c r="B110" s="2">
        <v>43717</v>
      </c>
      <c r="C110" t="s">
        <v>11</v>
      </c>
      <c r="D110" s="1">
        <v>12449</v>
      </c>
      <c r="E110" s="1">
        <v>21888</v>
      </c>
      <c r="F110" t="str">
        <f>VLOOKUP(Orders[[#This Row],[Product ID]],Products[],2,0)</f>
        <v>Bingo Set</v>
      </c>
      <c r="G110" s="1">
        <v>4</v>
      </c>
      <c r="H110" s="19">
        <v>3.75</v>
      </c>
      <c r="I110" s="19">
        <v>15</v>
      </c>
    </row>
    <row r="111" spans="1:9" x14ac:dyDescent="0.3">
      <c r="A111" s="1">
        <v>566163</v>
      </c>
      <c r="B111" s="2">
        <v>43717</v>
      </c>
      <c r="C111" t="s">
        <v>3</v>
      </c>
      <c r="D111" s="1">
        <v>12637</v>
      </c>
      <c r="E111" s="1">
        <v>22174</v>
      </c>
      <c r="F111" t="str">
        <f>VLOOKUP(Orders[[#This Row],[Product ID]],Products[],2,0)</f>
        <v>Photo Cube</v>
      </c>
      <c r="G111" s="1">
        <v>12</v>
      </c>
      <c r="H111" s="19">
        <v>1.65</v>
      </c>
      <c r="I111" s="19">
        <v>19.799999999999997</v>
      </c>
    </row>
    <row r="112" spans="1:9" x14ac:dyDescent="0.3">
      <c r="A112" s="1">
        <v>566195</v>
      </c>
      <c r="B112" s="2">
        <v>43717</v>
      </c>
      <c r="C112" t="s">
        <v>6</v>
      </c>
      <c r="D112" s="1">
        <v>12433</v>
      </c>
      <c r="E112" s="1">
        <v>22197</v>
      </c>
      <c r="F112" t="str">
        <f>VLOOKUP(Orders[[#This Row],[Product ID]],Products[],2,0)</f>
        <v>Popcorn Holder</v>
      </c>
      <c r="G112" s="1">
        <v>100</v>
      </c>
      <c r="H112" s="19">
        <v>0.72</v>
      </c>
      <c r="I112" s="19">
        <v>72</v>
      </c>
    </row>
    <row r="113" spans="1:9" x14ac:dyDescent="0.3">
      <c r="A113" s="1">
        <v>566567</v>
      </c>
      <c r="B113" s="2">
        <v>43721</v>
      </c>
      <c r="C113" t="s">
        <v>2</v>
      </c>
      <c r="D113" s="1">
        <v>16161</v>
      </c>
      <c r="E113" s="1">
        <v>20713</v>
      </c>
      <c r="F113" t="str">
        <f>VLOOKUP(Orders[[#This Row],[Product ID]],Products[],2,0)</f>
        <v>Jumbo Bag Owls</v>
      </c>
      <c r="G113" s="1">
        <v>10</v>
      </c>
      <c r="H113" s="19">
        <v>2.08</v>
      </c>
      <c r="I113" s="19">
        <v>20.8</v>
      </c>
    </row>
    <row r="114" spans="1:9" x14ac:dyDescent="0.3">
      <c r="A114" s="1">
        <v>566721</v>
      </c>
      <c r="B114" s="2">
        <v>43722</v>
      </c>
      <c r="C114" t="s">
        <v>2</v>
      </c>
      <c r="D114" s="1">
        <v>12921</v>
      </c>
      <c r="E114" s="1">
        <v>22653</v>
      </c>
      <c r="F114" t="str">
        <f>VLOOKUP(Orders[[#This Row],[Product ID]],Products[],2,0)</f>
        <v xml:space="preserve">Button Box </v>
      </c>
      <c r="G114" s="1">
        <v>10</v>
      </c>
      <c r="H114" s="19">
        <v>1.95</v>
      </c>
      <c r="I114" s="19">
        <v>19.5</v>
      </c>
    </row>
    <row r="115" spans="1:9" x14ac:dyDescent="0.3">
      <c r="A115" s="1">
        <v>567185</v>
      </c>
      <c r="B115" s="2">
        <v>43726</v>
      </c>
      <c r="C115" t="s">
        <v>2</v>
      </c>
      <c r="D115" s="1">
        <v>16370</v>
      </c>
      <c r="E115" s="1">
        <v>20713</v>
      </c>
      <c r="F115" t="str">
        <f>VLOOKUP(Orders[[#This Row],[Product ID]],Products[],2,0)</f>
        <v>Jumbo Bag Owls</v>
      </c>
      <c r="G115" s="1">
        <v>4</v>
      </c>
      <c r="H115" s="19">
        <v>2.08</v>
      </c>
      <c r="I115" s="19">
        <v>8.32</v>
      </c>
    </row>
    <row r="116" spans="1:9" x14ac:dyDescent="0.3">
      <c r="A116" s="1">
        <v>567280</v>
      </c>
      <c r="B116" s="2">
        <v>43727</v>
      </c>
      <c r="C116" t="s">
        <v>4</v>
      </c>
      <c r="D116" s="1">
        <v>14646</v>
      </c>
      <c r="E116" s="1">
        <v>20713</v>
      </c>
      <c r="F116" t="str">
        <f>VLOOKUP(Orders[[#This Row],[Product ID]],Products[],2,0)</f>
        <v>Jumbo Bag Owls</v>
      </c>
      <c r="G116" s="1">
        <v>100</v>
      </c>
      <c r="H116" s="19">
        <v>1.79</v>
      </c>
      <c r="I116" s="19">
        <v>179</v>
      </c>
    </row>
    <row r="117" spans="1:9" x14ac:dyDescent="0.3">
      <c r="A117" s="1">
        <v>567526</v>
      </c>
      <c r="B117" s="2">
        <v>43729</v>
      </c>
      <c r="C117" t="s">
        <v>12</v>
      </c>
      <c r="D117" s="1">
        <v>12435</v>
      </c>
      <c r="E117" s="1">
        <v>20713</v>
      </c>
      <c r="F117" t="str">
        <f>VLOOKUP(Orders[[#This Row],[Product ID]],Products[],2,0)</f>
        <v>Jumbo Bag Owls</v>
      </c>
      <c r="G117" s="1">
        <v>100</v>
      </c>
      <c r="H117" s="19">
        <v>1.79</v>
      </c>
      <c r="I117" s="19">
        <v>179</v>
      </c>
    </row>
    <row r="118" spans="1:9" x14ac:dyDescent="0.3">
      <c r="A118" s="1">
        <v>567552</v>
      </c>
      <c r="B118" s="2">
        <v>43729</v>
      </c>
      <c r="C118" t="s">
        <v>3</v>
      </c>
      <c r="D118" s="1">
        <v>12583</v>
      </c>
      <c r="E118" s="1">
        <v>22197</v>
      </c>
      <c r="F118" t="str">
        <f>VLOOKUP(Orders[[#This Row],[Product ID]],Products[],2,0)</f>
        <v>Popcorn Holder</v>
      </c>
      <c r="G118" s="1">
        <v>24</v>
      </c>
      <c r="H118" s="19">
        <v>0.85</v>
      </c>
      <c r="I118" s="19">
        <v>20.399999999999999</v>
      </c>
    </row>
    <row r="119" spans="1:9" x14ac:dyDescent="0.3">
      <c r="A119" s="1">
        <v>567795</v>
      </c>
      <c r="B119" s="2">
        <v>43730</v>
      </c>
      <c r="C119" t="s">
        <v>4</v>
      </c>
      <c r="D119" s="1">
        <v>14646</v>
      </c>
      <c r="E119" s="1">
        <v>20713</v>
      </c>
      <c r="F119" t="str">
        <f>VLOOKUP(Orders[[#This Row],[Product ID]],Products[],2,0)</f>
        <v>Jumbo Bag Owls</v>
      </c>
      <c r="G119" s="1">
        <v>100</v>
      </c>
      <c r="H119" s="19">
        <v>1.79</v>
      </c>
      <c r="I119" s="19">
        <v>179</v>
      </c>
    </row>
    <row r="120" spans="1:9" x14ac:dyDescent="0.3">
      <c r="A120" s="1">
        <v>567915</v>
      </c>
      <c r="B120" s="2">
        <v>43730</v>
      </c>
      <c r="C120" t="s">
        <v>3</v>
      </c>
      <c r="D120" s="1">
        <v>12579</v>
      </c>
      <c r="E120" s="1">
        <v>62018</v>
      </c>
      <c r="F120" t="str">
        <f>VLOOKUP(Orders[[#This Row],[Product ID]],Products[],2,0)</f>
        <v xml:space="preserve">Sombrero </v>
      </c>
      <c r="G120" s="1">
        <v>6</v>
      </c>
      <c r="H120" s="19">
        <v>1.95</v>
      </c>
      <c r="I120" s="19">
        <v>11.7</v>
      </c>
    </row>
    <row r="121" spans="1:9" x14ac:dyDescent="0.3">
      <c r="A121" s="1">
        <v>567924</v>
      </c>
      <c r="B121" s="2">
        <v>43730</v>
      </c>
      <c r="C121" t="s">
        <v>5</v>
      </c>
      <c r="D121" s="1">
        <v>12471</v>
      </c>
      <c r="E121" s="1">
        <v>22741</v>
      </c>
      <c r="F121" t="str">
        <f>VLOOKUP(Orders[[#This Row],[Product ID]],Products[],2,0)</f>
        <v>Funky Diva Pen</v>
      </c>
      <c r="G121" s="1">
        <v>48</v>
      </c>
      <c r="H121" s="19">
        <v>0.85</v>
      </c>
      <c r="I121" s="19">
        <v>40.799999999999997</v>
      </c>
    </row>
    <row r="122" spans="1:9" x14ac:dyDescent="0.3">
      <c r="A122" s="1">
        <v>567928</v>
      </c>
      <c r="B122" s="2">
        <v>43730</v>
      </c>
      <c r="C122" t="s">
        <v>11</v>
      </c>
      <c r="D122" s="1">
        <v>12380</v>
      </c>
      <c r="E122" s="1">
        <v>20713</v>
      </c>
      <c r="F122" t="str">
        <f>VLOOKUP(Orders[[#This Row],[Product ID]],Products[],2,0)</f>
        <v>Jumbo Bag Owls</v>
      </c>
      <c r="G122" s="1">
        <v>10</v>
      </c>
      <c r="H122" s="19">
        <v>2.08</v>
      </c>
      <c r="I122" s="19">
        <v>20.8</v>
      </c>
    </row>
    <row r="123" spans="1:9" x14ac:dyDescent="0.3">
      <c r="A123" s="1">
        <v>567938</v>
      </c>
      <c r="B123" s="2">
        <v>43730</v>
      </c>
      <c r="C123" t="s">
        <v>14</v>
      </c>
      <c r="D123" s="1">
        <v>12704</v>
      </c>
      <c r="E123" s="1">
        <v>22694</v>
      </c>
      <c r="F123" t="str">
        <f>VLOOKUP(Orders[[#This Row],[Product ID]],Products[],2,0)</f>
        <v xml:space="preserve">Wicker Star </v>
      </c>
      <c r="G123" s="1">
        <v>6</v>
      </c>
      <c r="H123" s="19">
        <v>2.1</v>
      </c>
      <c r="I123" s="19">
        <v>12.600000000000001</v>
      </c>
    </row>
    <row r="124" spans="1:9" x14ac:dyDescent="0.3">
      <c r="A124" s="1">
        <v>568040</v>
      </c>
      <c r="B124" s="2">
        <v>43731</v>
      </c>
      <c r="C124" t="s">
        <v>3</v>
      </c>
      <c r="D124" s="1">
        <v>12681</v>
      </c>
      <c r="E124" s="1">
        <v>22197</v>
      </c>
      <c r="F124" t="str">
        <f>VLOOKUP(Orders[[#This Row],[Product ID]],Products[],2,0)</f>
        <v>Popcorn Holder</v>
      </c>
      <c r="G124" s="1">
        <v>12</v>
      </c>
      <c r="H124" s="19">
        <v>0.85</v>
      </c>
      <c r="I124" s="19">
        <v>10.199999999999999</v>
      </c>
    </row>
    <row r="125" spans="1:9" x14ac:dyDescent="0.3">
      <c r="A125" s="1">
        <v>568179</v>
      </c>
      <c r="B125" s="2">
        <v>43733</v>
      </c>
      <c r="C125" t="s">
        <v>8</v>
      </c>
      <c r="D125" s="1">
        <v>12545</v>
      </c>
      <c r="E125" s="1">
        <v>22197</v>
      </c>
      <c r="F125" t="str">
        <f>VLOOKUP(Orders[[#This Row],[Product ID]],Products[],2,0)</f>
        <v>Popcorn Holder</v>
      </c>
      <c r="G125" s="1">
        <v>12</v>
      </c>
      <c r="H125" s="19">
        <v>0.85</v>
      </c>
      <c r="I125" s="19">
        <v>10.199999999999999</v>
      </c>
    </row>
    <row r="126" spans="1:9" x14ac:dyDescent="0.3">
      <c r="A126" s="1">
        <v>568650</v>
      </c>
      <c r="B126" s="2">
        <v>43736</v>
      </c>
      <c r="C126" t="s">
        <v>7</v>
      </c>
      <c r="D126" s="1">
        <v>13505</v>
      </c>
      <c r="E126" s="1">
        <v>22653</v>
      </c>
      <c r="F126" t="str">
        <f>VLOOKUP(Orders[[#This Row],[Product ID]],Products[],2,0)</f>
        <v xml:space="preserve">Button Box </v>
      </c>
      <c r="G126" s="1">
        <v>10</v>
      </c>
      <c r="H126" s="19">
        <v>1.95</v>
      </c>
      <c r="I126" s="19">
        <v>19.5</v>
      </c>
    </row>
    <row r="127" spans="1:9" x14ac:dyDescent="0.3">
      <c r="A127" s="1">
        <v>568650</v>
      </c>
      <c r="B127" s="2">
        <v>43736</v>
      </c>
      <c r="C127" t="s">
        <v>7</v>
      </c>
      <c r="D127" s="1">
        <v>13505</v>
      </c>
      <c r="E127" s="1">
        <v>22174</v>
      </c>
      <c r="F127" t="str">
        <f>VLOOKUP(Orders[[#This Row],[Product ID]],Products[],2,0)</f>
        <v>Photo Cube</v>
      </c>
      <c r="G127" s="1">
        <v>12</v>
      </c>
      <c r="H127" s="19">
        <v>1.65</v>
      </c>
      <c r="I127" s="19">
        <v>19.799999999999997</v>
      </c>
    </row>
    <row r="128" spans="1:9" x14ac:dyDescent="0.3">
      <c r="A128" s="1">
        <v>568953</v>
      </c>
      <c r="B128" s="2">
        <v>43737</v>
      </c>
      <c r="C128" t="s">
        <v>3</v>
      </c>
      <c r="D128" s="1">
        <v>12728</v>
      </c>
      <c r="E128" s="1">
        <v>22197</v>
      </c>
      <c r="F128" t="str">
        <f>VLOOKUP(Orders[[#This Row],[Product ID]],Products[],2,0)</f>
        <v>Popcorn Holder</v>
      </c>
      <c r="G128" s="1">
        <v>12</v>
      </c>
      <c r="H128" s="19">
        <v>0.85</v>
      </c>
      <c r="I128" s="19">
        <v>10.199999999999999</v>
      </c>
    </row>
    <row r="129" spans="1:9" x14ac:dyDescent="0.3">
      <c r="A129" s="1">
        <v>568953</v>
      </c>
      <c r="B129" s="2">
        <v>43737</v>
      </c>
      <c r="C129" t="s">
        <v>3</v>
      </c>
      <c r="D129" s="1">
        <v>12728</v>
      </c>
      <c r="E129" s="1">
        <v>22741</v>
      </c>
      <c r="F129" t="str">
        <f>VLOOKUP(Orders[[#This Row],[Product ID]],Products[],2,0)</f>
        <v>Funky Diva Pen</v>
      </c>
      <c r="G129" s="1">
        <v>48</v>
      </c>
      <c r="H129" s="19">
        <v>0.85</v>
      </c>
      <c r="I129" s="19">
        <v>40.799999999999997</v>
      </c>
    </row>
    <row r="130" spans="1:9" x14ac:dyDescent="0.3">
      <c r="A130" s="1">
        <v>569332</v>
      </c>
      <c r="B130" s="2">
        <v>43741</v>
      </c>
      <c r="C130" t="s">
        <v>3</v>
      </c>
      <c r="D130" s="1">
        <v>12637</v>
      </c>
      <c r="E130" s="1">
        <v>20713</v>
      </c>
      <c r="F130" t="str">
        <f>VLOOKUP(Orders[[#This Row],[Product ID]],Products[],2,0)</f>
        <v>Jumbo Bag Owls</v>
      </c>
      <c r="G130" s="1">
        <v>3</v>
      </c>
      <c r="H130" s="19">
        <v>2.08</v>
      </c>
      <c r="I130" s="19">
        <v>6.24</v>
      </c>
    </row>
    <row r="131" spans="1:9" x14ac:dyDescent="0.3">
      <c r="A131" s="1">
        <v>569486</v>
      </c>
      <c r="B131" s="2">
        <v>43742</v>
      </c>
      <c r="C131" t="s">
        <v>2</v>
      </c>
      <c r="D131" s="1">
        <v>15339</v>
      </c>
      <c r="E131" s="1">
        <v>22694</v>
      </c>
      <c r="F131" t="str">
        <f>VLOOKUP(Orders[[#This Row],[Product ID]],Products[],2,0)</f>
        <v xml:space="preserve">Wicker Star </v>
      </c>
      <c r="G131" s="1">
        <v>2</v>
      </c>
      <c r="H131" s="19">
        <v>2.1</v>
      </c>
      <c r="I131" s="19">
        <v>4.2</v>
      </c>
    </row>
    <row r="132" spans="1:9" x14ac:dyDescent="0.3">
      <c r="A132" s="1">
        <v>569562</v>
      </c>
      <c r="B132" s="2">
        <v>43743</v>
      </c>
      <c r="C132" t="s">
        <v>5</v>
      </c>
      <c r="D132" s="1">
        <v>12720</v>
      </c>
      <c r="E132" s="1">
        <v>22197</v>
      </c>
      <c r="F132" t="str">
        <f>VLOOKUP(Orders[[#This Row],[Product ID]],Products[],2,0)</f>
        <v>Popcorn Holder</v>
      </c>
      <c r="G132" s="1">
        <v>12</v>
      </c>
      <c r="H132" s="19">
        <v>0.85</v>
      </c>
      <c r="I132" s="19">
        <v>10.199999999999999</v>
      </c>
    </row>
    <row r="133" spans="1:9" x14ac:dyDescent="0.3">
      <c r="A133" s="1">
        <v>569640</v>
      </c>
      <c r="B133" s="2">
        <v>43743</v>
      </c>
      <c r="C133" t="s">
        <v>5</v>
      </c>
      <c r="D133" s="1">
        <v>12471</v>
      </c>
      <c r="E133" s="1">
        <v>22741</v>
      </c>
      <c r="F133" t="str">
        <f>VLOOKUP(Orders[[#This Row],[Product ID]],Products[],2,0)</f>
        <v>Funky Diva Pen</v>
      </c>
      <c r="G133" s="1">
        <v>96</v>
      </c>
      <c r="H133" s="19">
        <v>0.85</v>
      </c>
      <c r="I133" s="19">
        <v>81.599999999999994</v>
      </c>
    </row>
    <row r="134" spans="1:9" x14ac:dyDescent="0.3">
      <c r="A134" s="1">
        <v>569653</v>
      </c>
      <c r="B134" s="2">
        <v>43743</v>
      </c>
      <c r="C134" t="s">
        <v>7</v>
      </c>
      <c r="D134" s="1">
        <v>12451</v>
      </c>
      <c r="E134" s="1">
        <v>20713</v>
      </c>
      <c r="F134" t="str">
        <f>VLOOKUP(Orders[[#This Row],[Product ID]],Products[],2,0)</f>
        <v>Jumbo Bag Owls</v>
      </c>
      <c r="G134" s="1">
        <v>10</v>
      </c>
      <c r="H134" s="19">
        <v>2.08</v>
      </c>
      <c r="I134" s="19">
        <v>20.8</v>
      </c>
    </row>
    <row r="135" spans="1:9" x14ac:dyDescent="0.3">
      <c r="A135" s="1">
        <v>569844</v>
      </c>
      <c r="B135" s="2">
        <v>43744</v>
      </c>
      <c r="C135" t="s">
        <v>5</v>
      </c>
      <c r="D135" s="1">
        <v>12626</v>
      </c>
      <c r="E135" s="1">
        <v>20713</v>
      </c>
      <c r="F135" t="str">
        <f>VLOOKUP(Orders[[#This Row],[Product ID]],Products[],2,0)</f>
        <v>Jumbo Bag Owls</v>
      </c>
      <c r="G135" s="1">
        <v>10</v>
      </c>
      <c r="H135" s="19">
        <v>2.08</v>
      </c>
      <c r="I135" s="19">
        <v>20.8</v>
      </c>
    </row>
    <row r="136" spans="1:9" x14ac:dyDescent="0.3">
      <c r="A136" s="1">
        <v>569848</v>
      </c>
      <c r="B136" s="2">
        <v>43744</v>
      </c>
      <c r="C136" t="s">
        <v>2</v>
      </c>
      <c r="D136" s="1">
        <v>16316</v>
      </c>
      <c r="E136" s="1">
        <v>22197</v>
      </c>
      <c r="F136" t="str">
        <f>VLOOKUP(Orders[[#This Row],[Product ID]],Products[],2,0)</f>
        <v>Popcorn Holder</v>
      </c>
      <c r="G136" s="1">
        <v>24</v>
      </c>
      <c r="H136" s="19">
        <v>0.85</v>
      </c>
      <c r="I136" s="19">
        <v>20.399999999999999</v>
      </c>
    </row>
    <row r="137" spans="1:9" x14ac:dyDescent="0.3">
      <c r="A137" s="1">
        <v>569860</v>
      </c>
      <c r="B137" s="2">
        <v>43744</v>
      </c>
      <c r="C137" t="s">
        <v>5</v>
      </c>
      <c r="D137" s="1">
        <v>13812</v>
      </c>
      <c r="E137" s="1">
        <v>22197</v>
      </c>
      <c r="F137" t="str">
        <f>VLOOKUP(Orders[[#This Row],[Product ID]],Products[],2,0)</f>
        <v>Popcorn Holder</v>
      </c>
      <c r="G137" s="1">
        <v>12</v>
      </c>
      <c r="H137" s="19">
        <v>0.85</v>
      </c>
      <c r="I137" s="19">
        <v>10.199999999999999</v>
      </c>
    </row>
    <row r="138" spans="1:9" x14ac:dyDescent="0.3">
      <c r="A138" s="1">
        <v>569866</v>
      </c>
      <c r="B138" s="2">
        <v>43744</v>
      </c>
      <c r="C138" t="s">
        <v>9</v>
      </c>
      <c r="D138" s="1">
        <v>12757</v>
      </c>
      <c r="E138" s="1">
        <v>20713</v>
      </c>
      <c r="F138" t="str">
        <f>VLOOKUP(Orders[[#This Row],[Product ID]],Products[],2,0)</f>
        <v>Jumbo Bag Owls</v>
      </c>
      <c r="G138" s="1">
        <v>10</v>
      </c>
      <c r="H138" s="19">
        <v>2.08</v>
      </c>
      <c r="I138" s="19">
        <v>20.8</v>
      </c>
    </row>
    <row r="139" spans="1:9" x14ac:dyDescent="0.3">
      <c r="A139" s="1">
        <v>569866</v>
      </c>
      <c r="B139" s="2">
        <v>43744</v>
      </c>
      <c r="C139" t="s">
        <v>9</v>
      </c>
      <c r="D139" s="1">
        <v>12757</v>
      </c>
      <c r="E139" s="1">
        <v>22741</v>
      </c>
      <c r="F139" t="str">
        <f>VLOOKUP(Orders[[#This Row],[Product ID]],Products[],2,0)</f>
        <v>Funky Diva Pen</v>
      </c>
      <c r="G139" s="1">
        <v>12</v>
      </c>
      <c r="H139" s="19">
        <v>0.85</v>
      </c>
      <c r="I139" s="19">
        <v>10.199999999999999</v>
      </c>
    </row>
    <row r="140" spans="1:9" x14ac:dyDescent="0.3">
      <c r="A140" s="1">
        <v>570249</v>
      </c>
      <c r="B140" s="2">
        <v>43748</v>
      </c>
      <c r="C140" t="s">
        <v>2</v>
      </c>
      <c r="D140" s="1">
        <v>17509</v>
      </c>
      <c r="E140" s="1">
        <v>21888</v>
      </c>
      <c r="F140" t="str">
        <f>VLOOKUP(Orders[[#This Row],[Product ID]],Products[],2,0)</f>
        <v>Bingo Set</v>
      </c>
      <c r="G140" s="1">
        <v>4</v>
      </c>
      <c r="H140" s="19">
        <v>3.75</v>
      </c>
      <c r="I140" s="19">
        <v>15</v>
      </c>
    </row>
    <row r="141" spans="1:9" x14ac:dyDescent="0.3">
      <c r="A141" s="1">
        <v>570653</v>
      </c>
      <c r="B141" s="2">
        <v>43749</v>
      </c>
      <c r="C141" t="s">
        <v>2</v>
      </c>
      <c r="D141" s="1">
        <v>14710</v>
      </c>
      <c r="E141" s="1">
        <v>22197</v>
      </c>
      <c r="F141" t="str">
        <f>VLOOKUP(Orders[[#This Row],[Product ID]],Products[],2,0)</f>
        <v>Popcorn Holder</v>
      </c>
      <c r="G141" s="1">
        <v>6</v>
      </c>
      <c r="H141" s="19">
        <v>0.85</v>
      </c>
      <c r="I141" s="19">
        <v>5.0999999999999996</v>
      </c>
    </row>
    <row r="142" spans="1:9" x14ac:dyDescent="0.3">
      <c r="A142" s="1">
        <v>570672</v>
      </c>
      <c r="B142" s="2">
        <v>43749</v>
      </c>
      <c r="C142" t="s">
        <v>3</v>
      </c>
      <c r="D142" s="1">
        <v>12536</v>
      </c>
      <c r="E142" s="1">
        <v>21888</v>
      </c>
      <c r="F142" t="str">
        <f>VLOOKUP(Orders[[#This Row],[Product ID]],Products[],2,0)</f>
        <v>Bingo Set</v>
      </c>
      <c r="G142" s="1">
        <v>4</v>
      </c>
      <c r="H142" s="19">
        <v>3.75</v>
      </c>
      <c r="I142" s="19">
        <v>15</v>
      </c>
    </row>
    <row r="143" spans="1:9" x14ac:dyDescent="0.3">
      <c r="A143" s="1">
        <v>570833</v>
      </c>
      <c r="B143" s="2">
        <v>43750</v>
      </c>
      <c r="C143" t="s">
        <v>2</v>
      </c>
      <c r="D143" s="1">
        <v>14834</v>
      </c>
      <c r="E143" s="1">
        <v>22197</v>
      </c>
      <c r="F143" t="str">
        <f>VLOOKUP(Orders[[#This Row],[Product ID]],Products[],2,0)</f>
        <v>Popcorn Holder</v>
      </c>
      <c r="G143" s="1">
        <v>24</v>
      </c>
      <c r="H143" s="19">
        <v>0.85</v>
      </c>
      <c r="I143" s="19">
        <v>20.399999999999999</v>
      </c>
    </row>
    <row r="144" spans="1:9" x14ac:dyDescent="0.3">
      <c r="A144" s="1">
        <v>570851</v>
      </c>
      <c r="B144" s="2">
        <v>43750</v>
      </c>
      <c r="C144" t="s">
        <v>3</v>
      </c>
      <c r="D144" s="1">
        <v>12583</v>
      </c>
      <c r="E144" s="1">
        <v>22197</v>
      </c>
      <c r="F144" t="str">
        <f>VLOOKUP(Orders[[#This Row],[Product ID]],Products[],2,0)</f>
        <v>Popcorn Holder</v>
      </c>
      <c r="G144" s="1">
        <v>12</v>
      </c>
      <c r="H144" s="19">
        <v>0.85</v>
      </c>
      <c r="I144" s="19">
        <v>10.199999999999999</v>
      </c>
    </row>
    <row r="145" spans="1:9" x14ac:dyDescent="0.3">
      <c r="A145" s="1">
        <v>570964</v>
      </c>
      <c r="B145" s="2">
        <v>43751</v>
      </c>
      <c r="C145" t="s">
        <v>9</v>
      </c>
      <c r="D145" s="1">
        <v>12766</v>
      </c>
      <c r="E145" s="1">
        <v>21888</v>
      </c>
      <c r="F145" t="str">
        <f>VLOOKUP(Orders[[#This Row],[Product ID]],Products[],2,0)</f>
        <v>Bingo Set</v>
      </c>
      <c r="G145" s="1">
        <v>4</v>
      </c>
      <c r="H145" s="19">
        <v>3.75</v>
      </c>
      <c r="I145" s="19">
        <v>15</v>
      </c>
    </row>
    <row r="146" spans="1:9" x14ac:dyDescent="0.3">
      <c r="A146" s="1">
        <v>571227</v>
      </c>
      <c r="B146" s="2">
        <v>43752</v>
      </c>
      <c r="C146" t="s">
        <v>5</v>
      </c>
      <c r="D146" s="1">
        <v>12477</v>
      </c>
      <c r="E146" s="1">
        <v>21116</v>
      </c>
      <c r="F146" t="str">
        <f>VLOOKUP(Orders[[#This Row],[Product ID]],Products[],2,0)</f>
        <v>Owl Doorstop</v>
      </c>
      <c r="G146" s="1">
        <v>6</v>
      </c>
      <c r="H146" s="19">
        <v>4.95</v>
      </c>
      <c r="I146" s="19">
        <v>29.700000000000003</v>
      </c>
    </row>
    <row r="147" spans="1:9" x14ac:dyDescent="0.3">
      <c r="A147" s="1">
        <v>571280</v>
      </c>
      <c r="B147" s="2">
        <v>43754</v>
      </c>
      <c r="C147" t="s">
        <v>2</v>
      </c>
      <c r="D147" s="1">
        <v>18122</v>
      </c>
      <c r="E147" s="1">
        <v>22197</v>
      </c>
      <c r="F147" t="str">
        <f>VLOOKUP(Orders[[#This Row],[Product ID]],Products[],2,0)</f>
        <v>Popcorn Holder</v>
      </c>
      <c r="G147" s="1">
        <v>6</v>
      </c>
      <c r="H147" s="19">
        <v>0.85</v>
      </c>
      <c r="I147" s="19">
        <v>5.0999999999999996</v>
      </c>
    </row>
    <row r="148" spans="1:9" x14ac:dyDescent="0.3">
      <c r="A148" s="1">
        <v>571328</v>
      </c>
      <c r="B148" s="2">
        <v>43755</v>
      </c>
      <c r="C148" t="s">
        <v>5</v>
      </c>
      <c r="D148" s="1">
        <v>12473</v>
      </c>
      <c r="E148" s="1">
        <v>22741</v>
      </c>
      <c r="F148" t="str">
        <f>VLOOKUP(Orders[[#This Row],[Product ID]],Products[],2,0)</f>
        <v>Funky Diva Pen</v>
      </c>
      <c r="G148" s="1">
        <v>48</v>
      </c>
      <c r="H148" s="19">
        <v>0.85</v>
      </c>
      <c r="I148" s="19">
        <v>40.799999999999997</v>
      </c>
    </row>
    <row r="149" spans="1:9" x14ac:dyDescent="0.3">
      <c r="A149" s="1">
        <v>571670</v>
      </c>
      <c r="B149" s="2">
        <v>43756</v>
      </c>
      <c r="C149" t="s">
        <v>10</v>
      </c>
      <c r="D149" s="1">
        <v>12611</v>
      </c>
      <c r="E149" s="1">
        <v>22197</v>
      </c>
      <c r="F149" t="str">
        <f>VLOOKUP(Orders[[#This Row],[Product ID]],Products[],2,0)</f>
        <v>Popcorn Holder</v>
      </c>
      <c r="G149" s="1">
        <v>12</v>
      </c>
      <c r="H149" s="19">
        <v>0.85</v>
      </c>
      <c r="I149" s="19">
        <v>10.199999999999999</v>
      </c>
    </row>
    <row r="150" spans="1:9" x14ac:dyDescent="0.3">
      <c r="A150" s="1">
        <v>571904</v>
      </c>
      <c r="B150" s="2">
        <v>43757</v>
      </c>
      <c r="C150" t="s">
        <v>5</v>
      </c>
      <c r="D150" s="1">
        <v>12522</v>
      </c>
      <c r="E150" s="1">
        <v>21116</v>
      </c>
      <c r="F150" t="str">
        <f>VLOOKUP(Orders[[#This Row],[Product ID]],Products[],2,0)</f>
        <v>Owl Doorstop</v>
      </c>
      <c r="G150" s="1">
        <v>3</v>
      </c>
      <c r="H150" s="19">
        <v>4.95</v>
      </c>
      <c r="I150" s="19">
        <v>14.850000000000001</v>
      </c>
    </row>
    <row r="151" spans="1:9" x14ac:dyDescent="0.3">
      <c r="A151" s="1">
        <v>572058</v>
      </c>
      <c r="B151" s="2">
        <v>43758</v>
      </c>
      <c r="C151" t="s">
        <v>2</v>
      </c>
      <c r="D151" s="1">
        <v>18252</v>
      </c>
      <c r="E151" s="1">
        <v>23417</v>
      </c>
      <c r="F151" t="str">
        <f>VLOOKUP(Orders[[#This Row],[Product ID]],Products[],2,0)</f>
        <v>Bathroom Hook</v>
      </c>
      <c r="G151" s="1">
        <v>1</v>
      </c>
      <c r="H151" s="19">
        <v>1.65</v>
      </c>
      <c r="I151" s="19">
        <v>1.65</v>
      </c>
    </row>
    <row r="152" spans="1:9" x14ac:dyDescent="0.3">
      <c r="A152" s="1">
        <v>572065</v>
      </c>
      <c r="B152" s="2">
        <v>43758</v>
      </c>
      <c r="C152" t="s">
        <v>8</v>
      </c>
      <c r="D152" s="1">
        <v>12556</v>
      </c>
      <c r="E152" s="1">
        <v>22197</v>
      </c>
      <c r="F152" t="str">
        <f>VLOOKUP(Orders[[#This Row],[Product ID]],Products[],2,0)</f>
        <v>Popcorn Holder</v>
      </c>
      <c r="G152" s="1">
        <v>3</v>
      </c>
      <c r="H152" s="19">
        <v>0.85</v>
      </c>
      <c r="I152" s="19">
        <v>2.5499999999999998</v>
      </c>
    </row>
    <row r="153" spans="1:9" x14ac:dyDescent="0.3">
      <c r="A153" s="1">
        <v>572327</v>
      </c>
      <c r="B153" s="2">
        <v>43762</v>
      </c>
      <c r="C153" t="s">
        <v>2</v>
      </c>
      <c r="D153" s="1">
        <v>15277</v>
      </c>
      <c r="E153" s="1">
        <v>21888</v>
      </c>
      <c r="F153" t="str">
        <f>VLOOKUP(Orders[[#This Row],[Product ID]],Products[],2,0)</f>
        <v>Bingo Set</v>
      </c>
      <c r="G153" s="1">
        <v>8</v>
      </c>
      <c r="H153" s="19">
        <v>3.75</v>
      </c>
      <c r="I153" s="19">
        <v>30</v>
      </c>
    </row>
    <row r="154" spans="1:9" x14ac:dyDescent="0.3">
      <c r="A154" s="1">
        <v>572887</v>
      </c>
      <c r="B154" s="2">
        <v>43764</v>
      </c>
      <c r="C154" t="s">
        <v>11</v>
      </c>
      <c r="D154" s="1">
        <v>12362</v>
      </c>
      <c r="E154" s="1">
        <v>22174</v>
      </c>
      <c r="F154" t="str">
        <f>VLOOKUP(Orders[[#This Row],[Product ID]],Products[],2,0)</f>
        <v>Photo Cube</v>
      </c>
      <c r="G154" s="1">
        <v>12</v>
      </c>
      <c r="H154" s="19">
        <v>1.65</v>
      </c>
      <c r="I154" s="19">
        <v>19.799999999999997</v>
      </c>
    </row>
    <row r="155" spans="1:9" x14ac:dyDescent="0.3">
      <c r="A155" s="1">
        <v>573333</v>
      </c>
      <c r="B155" s="2">
        <v>43768</v>
      </c>
      <c r="C155" t="s">
        <v>13</v>
      </c>
      <c r="D155" s="1">
        <v>12483</v>
      </c>
      <c r="E155" s="1">
        <v>21888</v>
      </c>
      <c r="F155" t="str">
        <f>VLOOKUP(Orders[[#This Row],[Product ID]],Products[],2,0)</f>
        <v>Bingo Set</v>
      </c>
      <c r="G155" s="1">
        <v>4</v>
      </c>
      <c r="H155" s="19">
        <v>3.75</v>
      </c>
      <c r="I155" s="19">
        <v>15</v>
      </c>
    </row>
    <row r="156" spans="1:9" x14ac:dyDescent="0.3">
      <c r="A156" s="1">
        <v>573343</v>
      </c>
      <c r="B156" s="2">
        <v>43768</v>
      </c>
      <c r="C156" t="s">
        <v>2</v>
      </c>
      <c r="D156" s="1">
        <v>13566</v>
      </c>
      <c r="E156" s="1">
        <v>21888</v>
      </c>
      <c r="F156" t="str">
        <f>VLOOKUP(Orders[[#This Row],[Product ID]],Products[],2,0)</f>
        <v>Bingo Set</v>
      </c>
      <c r="G156" s="1">
        <v>2</v>
      </c>
      <c r="H156" s="19">
        <v>3.75</v>
      </c>
      <c r="I156" s="19">
        <v>7.5</v>
      </c>
    </row>
    <row r="157" spans="1:9" x14ac:dyDescent="0.3">
      <c r="A157" s="1">
        <v>573656</v>
      </c>
      <c r="B157" s="2">
        <v>43769</v>
      </c>
      <c r="C157" t="s">
        <v>11</v>
      </c>
      <c r="D157" s="1">
        <v>12417</v>
      </c>
      <c r="E157" s="1">
        <v>22741</v>
      </c>
      <c r="F157" t="str">
        <f>VLOOKUP(Orders[[#This Row],[Product ID]],Products[],2,0)</f>
        <v>Funky Diva Pen</v>
      </c>
      <c r="G157" s="1">
        <v>48</v>
      </c>
      <c r="H157" s="19">
        <v>0.85</v>
      </c>
      <c r="I157" s="19">
        <v>40.799999999999997</v>
      </c>
    </row>
    <row r="158" spans="1:9" x14ac:dyDescent="0.3">
      <c r="A158" s="1">
        <v>573814</v>
      </c>
      <c r="B158" s="2">
        <v>43770</v>
      </c>
      <c r="C158" t="s">
        <v>2</v>
      </c>
      <c r="D158" s="1">
        <v>13268</v>
      </c>
      <c r="E158" s="1">
        <v>23417</v>
      </c>
      <c r="F158" t="str">
        <f>VLOOKUP(Orders[[#This Row],[Product ID]],Products[],2,0)</f>
        <v>Bathroom Hook</v>
      </c>
      <c r="G158" s="1">
        <v>4</v>
      </c>
      <c r="H158" s="19">
        <v>1.65</v>
      </c>
      <c r="I158" s="19">
        <v>6.6</v>
      </c>
    </row>
    <row r="159" spans="1:9" x14ac:dyDescent="0.3">
      <c r="A159" s="1">
        <v>573889</v>
      </c>
      <c r="B159" s="2">
        <v>43770</v>
      </c>
      <c r="C159" t="s">
        <v>2</v>
      </c>
      <c r="D159" s="1">
        <v>13571</v>
      </c>
      <c r="E159" s="1">
        <v>22197</v>
      </c>
      <c r="F159" t="str">
        <f>VLOOKUP(Orders[[#This Row],[Product ID]],Products[],2,0)</f>
        <v>Popcorn Holder</v>
      </c>
      <c r="G159" s="1">
        <v>15</v>
      </c>
      <c r="H159" s="19">
        <v>0.85</v>
      </c>
      <c r="I159" s="19">
        <v>12.75</v>
      </c>
    </row>
    <row r="160" spans="1:9" x14ac:dyDescent="0.3">
      <c r="A160" s="1">
        <v>574093</v>
      </c>
      <c r="B160" s="2">
        <v>43772</v>
      </c>
      <c r="C160" t="s">
        <v>3</v>
      </c>
      <c r="D160" s="1">
        <v>12437</v>
      </c>
      <c r="E160" s="1">
        <v>22197</v>
      </c>
      <c r="F160" t="str">
        <f>VLOOKUP(Orders[[#This Row],[Product ID]],Products[],2,0)</f>
        <v>Popcorn Holder</v>
      </c>
      <c r="G160" s="1">
        <v>12</v>
      </c>
      <c r="H160" s="19">
        <v>0.85</v>
      </c>
      <c r="I160" s="19">
        <v>10.199999999999999</v>
      </c>
    </row>
    <row r="161" spans="1:9" x14ac:dyDescent="0.3">
      <c r="A161" s="1">
        <v>574329</v>
      </c>
      <c r="B161" s="2">
        <v>43773</v>
      </c>
      <c r="C161" t="s">
        <v>11</v>
      </c>
      <c r="D161" s="1">
        <v>12362</v>
      </c>
      <c r="E161" s="1">
        <v>22197</v>
      </c>
      <c r="F161" t="str">
        <f>VLOOKUP(Orders[[#This Row],[Product ID]],Products[],2,0)</f>
        <v>Popcorn Holder</v>
      </c>
      <c r="G161" s="1">
        <v>36</v>
      </c>
      <c r="H161" s="19">
        <v>0.85</v>
      </c>
      <c r="I161" s="19">
        <v>30.599999999999998</v>
      </c>
    </row>
    <row r="162" spans="1:9" x14ac:dyDescent="0.3">
      <c r="A162" s="1">
        <v>574501</v>
      </c>
      <c r="B162" s="2">
        <v>43773</v>
      </c>
      <c r="C162" t="s">
        <v>3</v>
      </c>
      <c r="D162" s="1">
        <v>12577</v>
      </c>
      <c r="E162" s="1">
        <v>22174</v>
      </c>
      <c r="F162" t="str">
        <f>VLOOKUP(Orders[[#This Row],[Product ID]],Products[],2,0)</f>
        <v>Photo Cube</v>
      </c>
      <c r="G162" s="1">
        <v>3</v>
      </c>
      <c r="H162" s="19">
        <v>1.65</v>
      </c>
      <c r="I162" s="19">
        <v>4.9499999999999993</v>
      </c>
    </row>
    <row r="163" spans="1:9" x14ac:dyDescent="0.3">
      <c r="A163" s="1">
        <v>574506</v>
      </c>
      <c r="B163" s="2">
        <v>43773</v>
      </c>
      <c r="C163" t="s">
        <v>3</v>
      </c>
      <c r="D163" s="1">
        <v>12577</v>
      </c>
      <c r="E163" s="1">
        <v>22197</v>
      </c>
      <c r="F163" t="str">
        <f>VLOOKUP(Orders[[#This Row],[Product ID]],Products[],2,0)</f>
        <v>Popcorn Holder</v>
      </c>
      <c r="G163" s="1">
        <v>2</v>
      </c>
      <c r="H163" s="19">
        <v>0.85</v>
      </c>
      <c r="I163" s="19">
        <v>1.7</v>
      </c>
    </row>
    <row r="164" spans="1:9" x14ac:dyDescent="0.3">
      <c r="A164" s="1">
        <v>574506</v>
      </c>
      <c r="B164" s="2">
        <v>43773</v>
      </c>
      <c r="C164" t="s">
        <v>3</v>
      </c>
      <c r="D164" s="1">
        <v>12577</v>
      </c>
      <c r="E164" s="1">
        <v>22197</v>
      </c>
      <c r="F164" t="str">
        <f>VLOOKUP(Orders[[#This Row],[Product ID]],Products[],2,0)</f>
        <v>Popcorn Holder</v>
      </c>
      <c r="G164" s="1">
        <v>4</v>
      </c>
      <c r="H164" s="19">
        <v>0.85</v>
      </c>
      <c r="I164" s="19">
        <v>3.4</v>
      </c>
    </row>
    <row r="165" spans="1:9" x14ac:dyDescent="0.3">
      <c r="A165" s="1">
        <v>574550</v>
      </c>
      <c r="B165" s="2">
        <v>43773</v>
      </c>
      <c r="C165" t="s">
        <v>8</v>
      </c>
      <c r="D165" s="1">
        <v>12484</v>
      </c>
      <c r="E165" s="1">
        <v>22197</v>
      </c>
      <c r="F165" t="str">
        <f>VLOOKUP(Orders[[#This Row],[Product ID]],Products[],2,0)</f>
        <v>Popcorn Holder</v>
      </c>
      <c r="G165" s="1">
        <v>12</v>
      </c>
      <c r="H165" s="19">
        <v>0.85</v>
      </c>
      <c r="I165" s="19">
        <v>10.199999999999999</v>
      </c>
    </row>
    <row r="166" spans="1:9" x14ac:dyDescent="0.3">
      <c r="A166" s="1">
        <v>574575</v>
      </c>
      <c r="B166" s="2">
        <v>43773</v>
      </c>
      <c r="C166" t="s">
        <v>2</v>
      </c>
      <c r="D166" s="1">
        <v>14971</v>
      </c>
      <c r="E166" s="1">
        <v>22694</v>
      </c>
      <c r="F166" t="str">
        <f>VLOOKUP(Orders[[#This Row],[Product ID]],Products[],2,0)</f>
        <v xml:space="preserve">Wicker Star </v>
      </c>
      <c r="G166" s="1">
        <v>2</v>
      </c>
      <c r="H166" s="19">
        <v>2.1</v>
      </c>
      <c r="I166" s="19">
        <v>4.2</v>
      </c>
    </row>
    <row r="167" spans="1:9" x14ac:dyDescent="0.3">
      <c r="A167" s="1">
        <v>574709</v>
      </c>
      <c r="B167" s="2">
        <v>43775</v>
      </c>
      <c r="C167" t="s">
        <v>2</v>
      </c>
      <c r="D167" s="1">
        <v>17768</v>
      </c>
      <c r="E167" s="1">
        <v>22197</v>
      </c>
      <c r="F167" t="str">
        <f>VLOOKUP(Orders[[#This Row],[Product ID]],Products[],2,0)</f>
        <v>Popcorn Holder</v>
      </c>
      <c r="G167" s="1">
        <v>22</v>
      </c>
      <c r="H167" s="19">
        <v>0.85</v>
      </c>
      <c r="I167" s="19">
        <v>18.7</v>
      </c>
    </row>
    <row r="168" spans="1:9" x14ac:dyDescent="0.3">
      <c r="A168" s="1">
        <v>574714</v>
      </c>
      <c r="B168" s="2">
        <v>43775</v>
      </c>
      <c r="C168" t="s">
        <v>2</v>
      </c>
      <c r="D168" s="1">
        <v>15427</v>
      </c>
      <c r="E168" s="1">
        <v>22197</v>
      </c>
      <c r="F168" t="str">
        <f>VLOOKUP(Orders[[#This Row],[Product ID]],Products[],2,0)</f>
        <v>Popcorn Holder</v>
      </c>
      <c r="G168" s="1">
        <v>4</v>
      </c>
      <c r="H168" s="19">
        <v>0.85</v>
      </c>
      <c r="I168" s="19">
        <v>3.4</v>
      </c>
    </row>
    <row r="169" spans="1:9" x14ac:dyDescent="0.3">
      <c r="A169" s="1">
        <v>574740</v>
      </c>
      <c r="B169" s="2">
        <v>43775</v>
      </c>
      <c r="C169" t="s">
        <v>7</v>
      </c>
      <c r="D169" s="1">
        <v>12357</v>
      </c>
      <c r="E169" s="1">
        <v>22190</v>
      </c>
      <c r="F169" t="str">
        <f>VLOOKUP(Orders[[#This Row],[Product ID]],Products[],2,0)</f>
        <v>Local Cafe Mug</v>
      </c>
      <c r="G169" s="1">
        <v>12</v>
      </c>
      <c r="H169" s="19">
        <v>2.1</v>
      </c>
      <c r="I169" s="19">
        <v>25.200000000000003</v>
      </c>
    </row>
    <row r="170" spans="1:9" x14ac:dyDescent="0.3">
      <c r="A170" s="1">
        <v>574740</v>
      </c>
      <c r="B170" s="2">
        <v>43775</v>
      </c>
      <c r="C170" t="s">
        <v>7</v>
      </c>
      <c r="D170" s="1">
        <v>12357</v>
      </c>
      <c r="E170" s="1">
        <v>21116</v>
      </c>
      <c r="F170" t="str">
        <f>VLOOKUP(Orders[[#This Row],[Product ID]],Products[],2,0)</f>
        <v>Owl Doorstop</v>
      </c>
      <c r="G170" s="1">
        <v>16</v>
      </c>
      <c r="H170" s="19">
        <v>4.25</v>
      </c>
      <c r="I170" s="19">
        <v>68</v>
      </c>
    </row>
    <row r="171" spans="1:9" x14ac:dyDescent="0.3">
      <c r="A171" s="1">
        <v>575067</v>
      </c>
      <c r="B171" s="2">
        <v>43777</v>
      </c>
      <c r="C171" t="s">
        <v>3</v>
      </c>
      <c r="D171" s="1">
        <v>12583</v>
      </c>
      <c r="E171" s="1">
        <v>22197</v>
      </c>
      <c r="F171" t="str">
        <f>VLOOKUP(Orders[[#This Row],[Product ID]],Products[],2,0)</f>
        <v>Popcorn Holder</v>
      </c>
      <c r="G171" s="1">
        <v>24</v>
      </c>
      <c r="H171" s="19">
        <v>0.85</v>
      </c>
      <c r="I171" s="19">
        <v>20.399999999999999</v>
      </c>
    </row>
    <row r="172" spans="1:9" x14ac:dyDescent="0.3">
      <c r="A172" s="1">
        <v>575331</v>
      </c>
      <c r="B172" s="2">
        <v>43778</v>
      </c>
      <c r="C172" t="s">
        <v>2</v>
      </c>
      <c r="D172" s="1">
        <v>13209</v>
      </c>
      <c r="E172" s="1">
        <v>22197</v>
      </c>
      <c r="F172" t="str">
        <f>VLOOKUP(Orders[[#This Row],[Product ID]],Products[],2,0)</f>
        <v>Popcorn Holder</v>
      </c>
      <c r="G172" s="1">
        <v>12</v>
      </c>
      <c r="H172" s="19">
        <v>0.85</v>
      </c>
      <c r="I172" s="19">
        <v>10.199999999999999</v>
      </c>
    </row>
    <row r="173" spans="1:9" x14ac:dyDescent="0.3">
      <c r="A173" s="1">
        <v>575507</v>
      </c>
      <c r="B173" s="2">
        <v>43779</v>
      </c>
      <c r="C173" t="s">
        <v>2</v>
      </c>
      <c r="D173" s="1">
        <v>17197</v>
      </c>
      <c r="E173" s="1">
        <v>21888</v>
      </c>
      <c r="F173" t="str">
        <f>VLOOKUP(Orders[[#This Row],[Product ID]],Products[],2,0)</f>
        <v>Bingo Set</v>
      </c>
      <c r="G173" s="1">
        <v>4</v>
      </c>
      <c r="H173" s="19">
        <v>3.75</v>
      </c>
      <c r="I173" s="19">
        <v>15</v>
      </c>
    </row>
    <row r="174" spans="1:9" x14ac:dyDescent="0.3">
      <c r="A174" s="1">
        <v>575514</v>
      </c>
      <c r="B174" s="2">
        <v>43779</v>
      </c>
      <c r="C174" t="s">
        <v>8</v>
      </c>
      <c r="D174" s="1">
        <v>12541</v>
      </c>
      <c r="E174" s="1">
        <v>22197</v>
      </c>
      <c r="F174" t="str">
        <f>VLOOKUP(Orders[[#This Row],[Product ID]],Products[],2,0)</f>
        <v>Popcorn Holder</v>
      </c>
      <c r="G174" s="1">
        <v>24</v>
      </c>
      <c r="H174" s="19">
        <v>0.85</v>
      </c>
      <c r="I174" s="19">
        <v>20.399999999999999</v>
      </c>
    </row>
    <row r="175" spans="1:9" x14ac:dyDescent="0.3">
      <c r="A175" s="1">
        <v>575880</v>
      </c>
      <c r="B175" s="2">
        <v>43780</v>
      </c>
      <c r="C175" t="s">
        <v>3</v>
      </c>
      <c r="D175" s="1">
        <v>12726</v>
      </c>
      <c r="E175" s="1">
        <v>21888</v>
      </c>
      <c r="F175" t="str">
        <f>VLOOKUP(Orders[[#This Row],[Product ID]],Products[],2,0)</f>
        <v>Bingo Set</v>
      </c>
      <c r="G175" s="1">
        <v>4</v>
      </c>
      <c r="H175" s="19">
        <v>3.75</v>
      </c>
      <c r="I175" s="19">
        <v>15</v>
      </c>
    </row>
    <row r="176" spans="1:9" x14ac:dyDescent="0.3">
      <c r="A176" s="1">
        <v>575886</v>
      </c>
      <c r="B176" s="2">
        <v>43780</v>
      </c>
      <c r="C176" t="s">
        <v>5</v>
      </c>
      <c r="D176" s="1">
        <v>12517</v>
      </c>
      <c r="E176" s="1">
        <v>20713</v>
      </c>
      <c r="F176" t="str">
        <f>VLOOKUP(Orders[[#This Row],[Product ID]],Products[],2,0)</f>
        <v>Jumbo Bag Owls</v>
      </c>
      <c r="G176" s="1">
        <v>3</v>
      </c>
      <c r="H176" s="19">
        <v>2.08</v>
      </c>
      <c r="I176" s="19">
        <v>6.24</v>
      </c>
    </row>
    <row r="177" spans="1:9" x14ac:dyDescent="0.3">
      <c r="A177" s="1">
        <v>576215</v>
      </c>
      <c r="B177" s="2">
        <v>43783</v>
      </c>
      <c r="C177" t="s">
        <v>2</v>
      </c>
      <c r="D177" s="1">
        <v>17652</v>
      </c>
      <c r="E177" s="1">
        <v>22197</v>
      </c>
      <c r="F177" t="str">
        <f>VLOOKUP(Orders[[#This Row],[Product ID]],Products[],2,0)</f>
        <v>Popcorn Holder</v>
      </c>
      <c r="G177" s="1">
        <v>24</v>
      </c>
      <c r="H177" s="19">
        <v>0.85</v>
      </c>
      <c r="I177" s="19">
        <v>20.399999999999999</v>
      </c>
    </row>
    <row r="178" spans="1:9" x14ac:dyDescent="0.3">
      <c r="A178" s="1">
        <v>576255</v>
      </c>
      <c r="B178" s="2">
        <v>43783</v>
      </c>
      <c r="C178" t="s">
        <v>2</v>
      </c>
      <c r="D178" s="1">
        <v>15993</v>
      </c>
      <c r="E178" s="1">
        <v>22197</v>
      </c>
      <c r="F178" t="str">
        <f>VLOOKUP(Orders[[#This Row],[Product ID]],Products[],2,0)</f>
        <v>Popcorn Holder</v>
      </c>
      <c r="G178" s="1">
        <v>10</v>
      </c>
      <c r="H178" s="19">
        <v>0.85</v>
      </c>
      <c r="I178" s="19">
        <v>8.5</v>
      </c>
    </row>
    <row r="179" spans="1:9" x14ac:dyDescent="0.3">
      <c r="A179" s="1">
        <v>576629</v>
      </c>
      <c r="B179" s="2">
        <v>43785</v>
      </c>
      <c r="C179" t="s">
        <v>5</v>
      </c>
      <c r="D179" s="1">
        <v>12621</v>
      </c>
      <c r="E179" s="1">
        <v>62018</v>
      </c>
      <c r="F179" t="str">
        <f>VLOOKUP(Orders[[#This Row],[Product ID]],Products[],2,0)</f>
        <v xml:space="preserve">Sombrero </v>
      </c>
      <c r="G179" s="1">
        <v>6</v>
      </c>
      <c r="H179" s="19">
        <v>1.95</v>
      </c>
      <c r="I179" s="19">
        <v>11.7</v>
      </c>
    </row>
    <row r="180" spans="1:9" x14ac:dyDescent="0.3">
      <c r="A180" s="1">
        <v>577033</v>
      </c>
      <c r="B180" s="2">
        <v>43786</v>
      </c>
      <c r="C180" t="s">
        <v>2</v>
      </c>
      <c r="D180" s="1">
        <v>17797</v>
      </c>
      <c r="E180" s="1">
        <v>22694</v>
      </c>
      <c r="F180" t="str">
        <f>VLOOKUP(Orders[[#This Row],[Product ID]],Products[],2,0)</f>
        <v xml:space="preserve">Wicker Star </v>
      </c>
      <c r="G180" s="1">
        <v>4</v>
      </c>
      <c r="H180" s="19">
        <v>2.1</v>
      </c>
      <c r="I180" s="19">
        <v>8.4</v>
      </c>
    </row>
    <row r="181" spans="1:9" x14ac:dyDescent="0.3">
      <c r="A181" s="1">
        <v>577046</v>
      </c>
      <c r="B181" s="2">
        <v>43786</v>
      </c>
      <c r="C181" t="s">
        <v>11</v>
      </c>
      <c r="D181" s="1">
        <v>12449</v>
      </c>
      <c r="E181" s="1">
        <v>22174</v>
      </c>
      <c r="F181" t="str">
        <f>VLOOKUP(Orders[[#This Row],[Product ID]],Products[],2,0)</f>
        <v>Photo Cube</v>
      </c>
      <c r="G181" s="1">
        <v>12</v>
      </c>
      <c r="H181" s="19">
        <v>1.65</v>
      </c>
      <c r="I181" s="19">
        <v>19.799999999999997</v>
      </c>
    </row>
    <row r="182" spans="1:9" x14ac:dyDescent="0.3">
      <c r="A182" s="1">
        <v>577121</v>
      </c>
      <c r="B182" s="2">
        <v>43786</v>
      </c>
      <c r="C182" t="s">
        <v>3</v>
      </c>
      <c r="D182" s="1">
        <v>12681</v>
      </c>
      <c r="E182" s="1">
        <v>22197</v>
      </c>
      <c r="F182" t="str">
        <f>VLOOKUP(Orders[[#This Row],[Product ID]],Products[],2,0)</f>
        <v>Popcorn Holder</v>
      </c>
      <c r="G182" s="1">
        <v>12</v>
      </c>
      <c r="H182" s="19">
        <v>0.85</v>
      </c>
      <c r="I182" s="19">
        <v>10.199999999999999</v>
      </c>
    </row>
    <row r="183" spans="1:9" x14ac:dyDescent="0.3">
      <c r="A183" s="1">
        <v>577152</v>
      </c>
      <c r="B183" s="2">
        <v>43787</v>
      </c>
      <c r="C183" t="s">
        <v>3</v>
      </c>
      <c r="D183" s="1">
        <v>14277</v>
      </c>
      <c r="E183" s="1">
        <v>22741</v>
      </c>
      <c r="F183" t="str">
        <f>VLOOKUP(Orders[[#This Row],[Product ID]],Products[],2,0)</f>
        <v>Funky Diva Pen</v>
      </c>
      <c r="G183" s="1">
        <v>48</v>
      </c>
      <c r="H183" s="19">
        <v>0.85</v>
      </c>
      <c r="I183" s="19">
        <v>40.799999999999997</v>
      </c>
    </row>
    <row r="184" spans="1:9" x14ac:dyDescent="0.3">
      <c r="A184" s="1">
        <v>577314</v>
      </c>
      <c r="B184" s="2">
        <v>43787</v>
      </c>
      <c r="C184" t="s">
        <v>6</v>
      </c>
      <c r="D184" s="1">
        <v>12444</v>
      </c>
      <c r="E184" s="1">
        <v>22694</v>
      </c>
      <c r="F184" t="str">
        <f>VLOOKUP(Orders[[#This Row],[Product ID]],Products[],2,0)</f>
        <v xml:space="preserve">Wicker Star </v>
      </c>
      <c r="G184" s="1">
        <v>6</v>
      </c>
      <c r="H184" s="19">
        <v>2.1</v>
      </c>
      <c r="I184" s="19">
        <v>12.600000000000001</v>
      </c>
    </row>
    <row r="185" spans="1:9" x14ac:dyDescent="0.3">
      <c r="A185" s="1">
        <v>577316</v>
      </c>
      <c r="B185" s="2">
        <v>43787</v>
      </c>
      <c r="C185" t="s">
        <v>10</v>
      </c>
      <c r="D185" s="1">
        <v>12578</v>
      </c>
      <c r="E185" s="1">
        <v>21888</v>
      </c>
      <c r="F185" t="str">
        <f>VLOOKUP(Orders[[#This Row],[Product ID]],Products[],2,0)</f>
        <v>Bingo Set</v>
      </c>
      <c r="G185" s="1">
        <v>4</v>
      </c>
      <c r="H185" s="19">
        <v>3.75</v>
      </c>
      <c r="I185" s="19">
        <v>15</v>
      </c>
    </row>
    <row r="186" spans="1:9" x14ac:dyDescent="0.3">
      <c r="A186" s="1">
        <v>577476</v>
      </c>
      <c r="B186" s="2">
        <v>43789</v>
      </c>
      <c r="C186" t="s">
        <v>8</v>
      </c>
      <c r="D186" s="1">
        <v>12540</v>
      </c>
      <c r="E186" s="1">
        <v>21116</v>
      </c>
      <c r="F186" t="str">
        <f>VLOOKUP(Orders[[#This Row],[Product ID]],Products[],2,0)</f>
        <v>Owl Doorstop</v>
      </c>
      <c r="G186" s="1">
        <v>6</v>
      </c>
      <c r="H186" s="19">
        <v>4.95</v>
      </c>
      <c r="I186" s="19">
        <v>29.700000000000003</v>
      </c>
    </row>
    <row r="187" spans="1:9" x14ac:dyDescent="0.3">
      <c r="A187" s="1">
        <v>577476</v>
      </c>
      <c r="B187" s="2">
        <v>43789</v>
      </c>
      <c r="C187" t="s">
        <v>8</v>
      </c>
      <c r="D187" s="1">
        <v>12540</v>
      </c>
      <c r="E187" s="1">
        <v>22741</v>
      </c>
      <c r="F187" t="str">
        <f>VLOOKUP(Orders[[#This Row],[Product ID]],Products[],2,0)</f>
        <v>Funky Diva Pen</v>
      </c>
      <c r="G187" s="1">
        <v>48</v>
      </c>
      <c r="H187" s="19">
        <v>0.85</v>
      </c>
      <c r="I187" s="19">
        <v>40.799999999999997</v>
      </c>
    </row>
    <row r="188" spans="1:9" x14ac:dyDescent="0.3">
      <c r="A188" s="1">
        <v>577938</v>
      </c>
      <c r="B188" s="2">
        <v>43791</v>
      </c>
      <c r="C188" t="s">
        <v>2</v>
      </c>
      <c r="D188" s="1">
        <v>15525</v>
      </c>
      <c r="E188" s="1">
        <v>22197</v>
      </c>
      <c r="F188" t="str">
        <f>VLOOKUP(Orders[[#This Row],[Product ID]],Products[],2,0)</f>
        <v>Popcorn Holder</v>
      </c>
      <c r="G188" s="1">
        <v>2</v>
      </c>
      <c r="H188" s="19">
        <v>0.85</v>
      </c>
      <c r="I188" s="19">
        <v>1.7</v>
      </c>
    </row>
    <row r="189" spans="1:9" x14ac:dyDescent="0.3">
      <c r="A189" s="1">
        <v>578108</v>
      </c>
      <c r="B189" s="2">
        <v>43792</v>
      </c>
      <c r="C189" t="s">
        <v>10</v>
      </c>
      <c r="D189" s="1">
        <v>14912</v>
      </c>
      <c r="E189" s="1">
        <v>22197</v>
      </c>
      <c r="F189" t="str">
        <f>VLOOKUP(Orders[[#This Row],[Product ID]],Products[],2,0)</f>
        <v>Popcorn Holder</v>
      </c>
      <c r="G189" s="1">
        <v>100</v>
      </c>
      <c r="H189" s="19">
        <v>0.72</v>
      </c>
      <c r="I189" s="19">
        <v>72</v>
      </c>
    </row>
    <row r="190" spans="1:9" x14ac:dyDescent="0.3">
      <c r="A190" s="1">
        <v>578147</v>
      </c>
      <c r="B190" s="2">
        <v>43792</v>
      </c>
      <c r="C190" t="s">
        <v>2</v>
      </c>
      <c r="D190" s="1">
        <v>12748</v>
      </c>
      <c r="E190" s="1">
        <v>22197</v>
      </c>
      <c r="F190" t="str">
        <f>VLOOKUP(Orders[[#This Row],[Product ID]],Products[],2,0)</f>
        <v>Popcorn Holder</v>
      </c>
      <c r="G190" s="1">
        <v>4</v>
      </c>
      <c r="H190" s="19">
        <v>0.85</v>
      </c>
      <c r="I190" s="19">
        <v>3.4</v>
      </c>
    </row>
    <row r="191" spans="1:9" x14ac:dyDescent="0.3">
      <c r="A191" s="1">
        <v>578781</v>
      </c>
      <c r="B191" s="2">
        <v>43794</v>
      </c>
      <c r="C191" t="s">
        <v>2</v>
      </c>
      <c r="D191" s="1">
        <v>15872</v>
      </c>
      <c r="E191" s="1">
        <v>62018</v>
      </c>
      <c r="F191" t="str">
        <f>VLOOKUP(Orders[[#This Row],[Product ID]],Products[],2,0)</f>
        <v xml:space="preserve">Sombrero </v>
      </c>
      <c r="G191" s="1">
        <v>1</v>
      </c>
      <c r="H191" s="19">
        <v>1.95</v>
      </c>
      <c r="I191" s="19">
        <v>1.95</v>
      </c>
    </row>
    <row r="192" spans="1:9" x14ac:dyDescent="0.3">
      <c r="A192" s="1">
        <v>578949</v>
      </c>
      <c r="B192" s="2">
        <v>43796</v>
      </c>
      <c r="C192" t="s">
        <v>2</v>
      </c>
      <c r="D192" s="1">
        <v>14954</v>
      </c>
      <c r="E192" s="1">
        <v>21260</v>
      </c>
      <c r="F192" t="str">
        <f>VLOOKUP(Orders[[#This Row],[Product ID]],Products[],2,0)</f>
        <v>First Aid Tin</v>
      </c>
      <c r="G192" s="1">
        <v>1</v>
      </c>
      <c r="H192" s="19">
        <v>3.25</v>
      </c>
      <c r="I192" s="19">
        <v>3.25</v>
      </c>
    </row>
    <row r="193" spans="1:9" x14ac:dyDescent="0.3">
      <c r="A193" s="1">
        <v>579135</v>
      </c>
      <c r="B193" s="2">
        <v>43797</v>
      </c>
      <c r="C193" t="s">
        <v>2</v>
      </c>
      <c r="D193" s="1">
        <v>18096</v>
      </c>
      <c r="E193" s="1">
        <v>22197</v>
      </c>
      <c r="F193" t="str">
        <f>VLOOKUP(Orders[[#This Row],[Product ID]],Products[],2,0)</f>
        <v>Popcorn Holder</v>
      </c>
      <c r="G193" s="1">
        <v>20</v>
      </c>
      <c r="H193" s="19">
        <v>0.85</v>
      </c>
      <c r="I193" s="19">
        <v>17</v>
      </c>
    </row>
    <row r="194" spans="1:9" x14ac:dyDescent="0.3">
      <c r="A194" s="1">
        <v>579503</v>
      </c>
      <c r="B194" s="2">
        <v>43798</v>
      </c>
      <c r="C194" t="s">
        <v>8</v>
      </c>
      <c r="D194" s="1">
        <v>17097</v>
      </c>
      <c r="E194" s="1">
        <v>20713</v>
      </c>
      <c r="F194" t="str">
        <f>VLOOKUP(Orders[[#This Row],[Product ID]],Products[],2,0)</f>
        <v>Jumbo Bag Owls</v>
      </c>
      <c r="G194" s="1">
        <v>1</v>
      </c>
      <c r="H194" s="19">
        <v>2.08</v>
      </c>
      <c r="I194" s="19">
        <v>2.08</v>
      </c>
    </row>
    <row r="195" spans="1:9" x14ac:dyDescent="0.3">
      <c r="A195" s="1">
        <v>579692</v>
      </c>
      <c r="B195" s="2">
        <v>43799</v>
      </c>
      <c r="C195" t="s">
        <v>6</v>
      </c>
      <c r="D195" s="1">
        <v>12433</v>
      </c>
      <c r="E195" s="1">
        <v>22197</v>
      </c>
      <c r="F195" t="str">
        <f>VLOOKUP(Orders[[#This Row],[Product ID]],Products[],2,0)</f>
        <v>Popcorn Holder</v>
      </c>
      <c r="G195" s="1">
        <v>100</v>
      </c>
      <c r="H195" s="19">
        <v>0.72</v>
      </c>
      <c r="I195" s="19">
        <v>72</v>
      </c>
    </row>
    <row r="196" spans="1:9" x14ac:dyDescent="0.3">
      <c r="A196" s="1">
        <v>580265</v>
      </c>
      <c r="B196" s="2">
        <v>43801</v>
      </c>
      <c r="C196" t="s">
        <v>14</v>
      </c>
      <c r="D196" s="1">
        <v>12587</v>
      </c>
      <c r="E196" s="1">
        <v>20713</v>
      </c>
      <c r="F196" t="str">
        <f>VLOOKUP(Orders[[#This Row],[Product ID]],Products[],2,0)</f>
        <v>Jumbo Bag Owls</v>
      </c>
      <c r="G196" s="1">
        <v>10</v>
      </c>
      <c r="H196" s="19">
        <v>2.08</v>
      </c>
      <c r="I196" s="19">
        <v>20.8</v>
      </c>
    </row>
    <row r="197" spans="1:9" x14ac:dyDescent="0.3">
      <c r="A197" s="1">
        <v>580998</v>
      </c>
      <c r="B197" s="2">
        <v>43805</v>
      </c>
      <c r="C197" t="s">
        <v>2</v>
      </c>
      <c r="D197" s="1">
        <v>16987</v>
      </c>
      <c r="E197" s="1">
        <v>22694</v>
      </c>
      <c r="F197" t="str">
        <f>VLOOKUP(Orders[[#This Row],[Product ID]],Products[],2,0)</f>
        <v xml:space="preserve">Wicker Star </v>
      </c>
      <c r="G197" s="1">
        <v>2</v>
      </c>
      <c r="H197" s="19">
        <v>2.1</v>
      </c>
      <c r="I197" s="19">
        <v>4.2</v>
      </c>
    </row>
    <row r="198" spans="1:9" x14ac:dyDescent="0.3">
      <c r="A198" s="1">
        <v>581246</v>
      </c>
      <c r="B198" s="2">
        <v>43807</v>
      </c>
      <c r="C198" t="s">
        <v>2</v>
      </c>
      <c r="D198" s="1">
        <v>15453</v>
      </c>
      <c r="E198" s="1">
        <v>22694</v>
      </c>
      <c r="F198" t="str">
        <f>VLOOKUP(Orders[[#This Row],[Product ID]],Products[],2,0)</f>
        <v xml:space="preserve">Wicker Star </v>
      </c>
      <c r="G198" s="1">
        <v>1</v>
      </c>
      <c r="H198" s="19">
        <v>2.1</v>
      </c>
      <c r="I198" s="19">
        <v>2.1</v>
      </c>
    </row>
    <row r="199" spans="1:9" x14ac:dyDescent="0.3">
      <c r="A199" s="1">
        <v>581253</v>
      </c>
      <c r="B199" s="2">
        <v>43807</v>
      </c>
      <c r="C199" t="s">
        <v>2</v>
      </c>
      <c r="D199" s="1">
        <v>16891</v>
      </c>
      <c r="E199" s="1">
        <v>22694</v>
      </c>
      <c r="F199" t="str">
        <f>VLOOKUP(Orders[[#This Row],[Product ID]],Products[],2,0)</f>
        <v xml:space="preserve">Wicker Star </v>
      </c>
      <c r="G199" s="1">
        <v>4</v>
      </c>
      <c r="H199" s="19">
        <v>2.1</v>
      </c>
      <c r="I199" s="19">
        <v>8.4</v>
      </c>
    </row>
    <row r="200" spans="1:9" x14ac:dyDescent="0.3">
      <c r="A200" s="1">
        <v>581412</v>
      </c>
      <c r="B200" s="2">
        <v>43807</v>
      </c>
      <c r="C200" t="s">
        <v>2</v>
      </c>
      <c r="D200" s="1">
        <v>14415</v>
      </c>
      <c r="E200" s="1">
        <v>20713</v>
      </c>
      <c r="F200" t="str">
        <f>VLOOKUP(Orders[[#This Row],[Product ID]],Products[],2,0)</f>
        <v>Jumbo Bag Owls</v>
      </c>
      <c r="G200" s="1">
        <v>5</v>
      </c>
      <c r="H200" s="19">
        <v>2.08</v>
      </c>
      <c r="I200" s="19">
        <v>10.4</v>
      </c>
    </row>
    <row r="201" spans="1:9" x14ac:dyDescent="0.3">
      <c r="A201" s="1">
        <v>581476</v>
      </c>
      <c r="B201" s="2">
        <v>43808</v>
      </c>
      <c r="C201" t="s">
        <v>6</v>
      </c>
      <c r="D201" s="1">
        <v>12433</v>
      </c>
      <c r="E201" s="1">
        <v>22197</v>
      </c>
      <c r="F201" t="str">
        <f>VLOOKUP(Orders[[#This Row],[Product ID]],Products[],2,0)</f>
        <v>Popcorn Holder</v>
      </c>
      <c r="G201" s="1">
        <v>100</v>
      </c>
      <c r="H201" s="19">
        <v>0.72</v>
      </c>
      <c r="I201" s="19">
        <v>72</v>
      </c>
    </row>
  </sheetData>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'Countries'!$A$2:$A$15</xm:f>
          </x14:formula1>
          <xm:sqref>K2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59999389629810485"/>
  </sheetPr>
  <dimension ref="A1:B15"/>
  <sheetViews>
    <sheetView workbookViewId="0"/>
  </sheetViews>
  <sheetFormatPr defaultRowHeight="14.4" x14ac:dyDescent="0.3"/>
  <cols>
    <col min="1" max="1" width="12.88671875" customWidth="1"/>
    <col min="2" max="2" width="18.5546875" customWidth="1"/>
  </cols>
  <sheetData>
    <row r="1" spans="1:2" x14ac:dyDescent="0.3">
      <c r="A1" s="3" t="s">
        <v>17</v>
      </c>
      <c r="B1" s="3" t="s">
        <v>18</v>
      </c>
    </row>
    <row r="2" spans="1:2" x14ac:dyDescent="0.3">
      <c r="A2" s="1">
        <v>20713</v>
      </c>
      <c r="B2" t="s">
        <v>634</v>
      </c>
    </row>
    <row r="3" spans="1:2" x14ac:dyDescent="0.3">
      <c r="A3" s="1">
        <v>21025</v>
      </c>
      <c r="B3" t="s">
        <v>635</v>
      </c>
    </row>
    <row r="4" spans="1:2" x14ac:dyDescent="0.3">
      <c r="A4" s="1">
        <v>21116</v>
      </c>
      <c r="B4" t="s">
        <v>636</v>
      </c>
    </row>
    <row r="5" spans="1:2" x14ac:dyDescent="0.3">
      <c r="A5" s="1">
        <v>21260</v>
      </c>
      <c r="B5" t="s">
        <v>637</v>
      </c>
    </row>
    <row r="6" spans="1:2" x14ac:dyDescent="0.3">
      <c r="A6" s="1">
        <v>21888</v>
      </c>
      <c r="B6" t="s">
        <v>638</v>
      </c>
    </row>
    <row r="7" spans="1:2" x14ac:dyDescent="0.3">
      <c r="A7" s="1">
        <v>22174</v>
      </c>
      <c r="B7" t="s">
        <v>639</v>
      </c>
    </row>
    <row r="8" spans="1:2" x14ac:dyDescent="0.3">
      <c r="A8" s="1">
        <v>22190</v>
      </c>
      <c r="B8" t="s">
        <v>640</v>
      </c>
    </row>
    <row r="9" spans="1:2" x14ac:dyDescent="0.3">
      <c r="A9" s="1">
        <v>22197</v>
      </c>
      <c r="B9" t="s">
        <v>641</v>
      </c>
    </row>
    <row r="10" spans="1:2" x14ac:dyDescent="0.3">
      <c r="A10" s="1">
        <v>22653</v>
      </c>
      <c r="B10" t="s">
        <v>642</v>
      </c>
    </row>
    <row r="11" spans="1:2" x14ac:dyDescent="0.3">
      <c r="A11" s="1">
        <v>22694</v>
      </c>
      <c r="B11" t="s">
        <v>643</v>
      </c>
    </row>
    <row r="12" spans="1:2" x14ac:dyDescent="0.3">
      <c r="A12" s="1">
        <v>22740</v>
      </c>
      <c r="B12" t="s">
        <v>644</v>
      </c>
    </row>
    <row r="13" spans="1:2" x14ac:dyDescent="0.3">
      <c r="A13" s="1">
        <v>22741</v>
      </c>
      <c r="B13" t="s">
        <v>645</v>
      </c>
    </row>
    <row r="14" spans="1:2" x14ac:dyDescent="0.3">
      <c r="A14" s="1">
        <v>23417</v>
      </c>
      <c r="B14" t="s">
        <v>646</v>
      </c>
    </row>
    <row r="15" spans="1:2" x14ac:dyDescent="0.3">
      <c r="A15" s="1">
        <v>62018</v>
      </c>
      <c r="B15" t="s">
        <v>647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A1:B15"/>
  <sheetViews>
    <sheetView workbookViewId="0">
      <selection activeCell="Q14" sqref="Q14"/>
    </sheetView>
  </sheetViews>
  <sheetFormatPr defaultRowHeight="14.4" x14ac:dyDescent="0.3"/>
  <cols>
    <col min="1" max="1" width="17.109375" customWidth="1"/>
  </cols>
  <sheetData>
    <row r="1" spans="1:2" x14ac:dyDescent="0.3">
      <c r="A1" s="3" t="s">
        <v>0</v>
      </c>
      <c r="B1" s="3" t="s">
        <v>22</v>
      </c>
    </row>
    <row r="2" spans="1:2" x14ac:dyDescent="0.3">
      <c r="A2" t="s">
        <v>15</v>
      </c>
      <c r="B2" s="1">
        <v>2</v>
      </c>
    </row>
    <row r="3" spans="1:2" x14ac:dyDescent="0.3">
      <c r="A3" t="s">
        <v>11</v>
      </c>
      <c r="B3" s="1">
        <v>12</v>
      </c>
    </row>
    <row r="4" spans="1:2" x14ac:dyDescent="0.3">
      <c r="A4" t="s">
        <v>12</v>
      </c>
      <c r="B4" s="1">
        <v>2</v>
      </c>
    </row>
    <row r="5" spans="1:2" x14ac:dyDescent="0.3">
      <c r="A5" t="s">
        <v>14</v>
      </c>
      <c r="B5" s="1">
        <v>3</v>
      </c>
    </row>
    <row r="6" spans="1:2" x14ac:dyDescent="0.3">
      <c r="A6" t="s">
        <v>3</v>
      </c>
      <c r="B6" s="1">
        <v>32</v>
      </c>
    </row>
    <row r="7" spans="1:2" x14ac:dyDescent="0.3">
      <c r="A7" t="s">
        <v>5</v>
      </c>
      <c r="B7" s="1">
        <v>44</v>
      </c>
    </row>
    <row r="8" spans="1:2" x14ac:dyDescent="0.3">
      <c r="A8" t="s">
        <v>10</v>
      </c>
      <c r="B8" s="1">
        <v>7</v>
      </c>
    </row>
    <row r="9" spans="1:2" x14ac:dyDescent="0.3">
      <c r="A9" t="s">
        <v>4</v>
      </c>
      <c r="B9" s="1">
        <v>12</v>
      </c>
    </row>
    <row r="10" spans="1:2" x14ac:dyDescent="0.3">
      <c r="A10" t="s">
        <v>6</v>
      </c>
      <c r="B10" s="1">
        <v>4</v>
      </c>
    </row>
    <row r="11" spans="1:2" x14ac:dyDescent="0.3">
      <c r="A11" t="s">
        <v>9</v>
      </c>
      <c r="B11" s="1">
        <v>9</v>
      </c>
    </row>
    <row r="12" spans="1:2" x14ac:dyDescent="0.3">
      <c r="A12" t="s">
        <v>8</v>
      </c>
      <c r="B12" s="1">
        <v>14</v>
      </c>
    </row>
    <row r="13" spans="1:2" x14ac:dyDescent="0.3">
      <c r="A13" t="s">
        <v>13</v>
      </c>
      <c r="B13" s="1">
        <v>4</v>
      </c>
    </row>
    <row r="14" spans="1:2" x14ac:dyDescent="0.3">
      <c r="A14" t="s">
        <v>7</v>
      </c>
      <c r="B14" s="1">
        <v>7</v>
      </c>
    </row>
    <row r="15" spans="1:2" x14ac:dyDescent="0.3">
      <c r="A15" t="s">
        <v>2</v>
      </c>
      <c r="B15" s="1">
        <v>48</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59999389629810485"/>
  </sheetPr>
  <dimension ref="A1:B5"/>
  <sheetViews>
    <sheetView workbookViewId="0">
      <selection activeCell="B6" sqref="B6"/>
    </sheetView>
  </sheetViews>
  <sheetFormatPr defaultRowHeight="14.4" x14ac:dyDescent="0.3"/>
  <cols>
    <col min="1" max="1" width="20" customWidth="1"/>
    <col min="2" max="2" width="11.44140625" customWidth="1"/>
  </cols>
  <sheetData>
    <row r="1" spans="1:2" x14ac:dyDescent="0.3">
      <c r="A1" s="44" t="s">
        <v>23</v>
      </c>
      <c r="B1" s="44"/>
    </row>
    <row r="2" spans="1:2" x14ac:dyDescent="0.3">
      <c r="A2" s="4" t="s">
        <v>24</v>
      </c>
      <c r="B2" s="6">
        <v>250000</v>
      </c>
    </row>
    <row r="3" spans="1:2" x14ac:dyDescent="0.3">
      <c r="A3" s="4" t="s">
        <v>25</v>
      </c>
      <c r="B3" s="5">
        <v>4.4999999999999998E-2</v>
      </c>
    </row>
    <row r="4" spans="1:2" x14ac:dyDescent="0.3">
      <c r="A4" s="7" t="s">
        <v>26</v>
      </c>
      <c r="B4" s="8">
        <v>30</v>
      </c>
    </row>
    <row r="5" spans="1:2" x14ac:dyDescent="0.3">
      <c r="A5" s="9" t="s">
        <v>27</v>
      </c>
      <c r="B5" s="10">
        <f>PMT(B3/12,B4*12,B2,,1)</f>
        <v>-1261.9808463907364</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59999389629810485"/>
  </sheetPr>
  <dimension ref="A1:B14"/>
  <sheetViews>
    <sheetView workbookViewId="0">
      <selection activeCell="N8" sqref="N8"/>
    </sheetView>
  </sheetViews>
  <sheetFormatPr defaultRowHeight="14.4" x14ac:dyDescent="0.3"/>
  <cols>
    <col min="1" max="1" width="11.33203125" bestFit="1" customWidth="1"/>
    <col min="2" max="2" width="15.5546875" bestFit="1" customWidth="1"/>
  </cols>
  <sheetData>
    <row r="1" spans="1:2" x14ac:dyDescent="0.3">
      <c r="A1" s="11" t="s">
        <v>648</v>
      </c>
      <c r="B1" t="s">
        <v>41</v>
      </c>
    </row>
    <row r="2" spans="1:2" x14ac:dyDescent="0.3">
      <c r="A2" t="s">
        <v>29</v>
      </c>
      <c r="B2" s="6">
        <v>459.8</v>
      </c>
    </row>
    <row r="3" spans="1:2" x14ac:dyDescent="0.3">
      <c r="A3" t="s">
        <v>30</v>
      </c>
      <c r="B3" s="6">
        <v>1306.6499999999999</v>
      </c>
    </row>
    <row r="4" spans="1:2" x14ac:dyDescent="0.3">
      <c r="A4" t="s">
        <v>31</v>
      </c>
      <c r="B4" s="6">
        <v>299.10000000000002</v>
      </c>
    </row>
    <row r="5" spans="1:2" x14ac:dyDescent="0.3">
      <c r="A5" t="s">
        <v>32</v>
      </c>
      <c r="B5" s="6">
        <v>139.5</v>
      </c>
    </row>
    <row r="6" spans="1:2" x14ac:dyDescent="0.3">
      <c r="A6" t="s">
        <v>33</v>
      </c>
      <c r="B6" s="6">
        <v>202.1</v>
      </c>
    </row>
    <row r="7" spans="1:2" x14ac:dyDescent="0.3">
      <c r="A7" t="s">
        <v>34</v>
      </c>
      <c r="B7" s="6">
        <v>1211.3999999999999</v>
      </c>
    </row>
    <row r="8" spans="1:2" x14ac:dyDescent="0.3">
      <c r="A8" t="s">
        <v>35</v>
      </c>
      <c r="B8" s="6">
        <v>518.65000000000009</v>
      </c>
    </row>
    <row r="9" spans="1:2" x14ac:dyDescent="0.3">
      <c r="A9" t="s">
        <v>36</v>
      </c>
      <c r="B9" s="6">
        <v>574.15000000000009</v>
      </c>
    </row>
    <row r="10" spans="1:2" x14ac:dyDescent="0.3">
      <c r="A10" t="s">
        <v>37</v>
      </c>
      <c r="B10" s="6">
        <v>1161.72</v>
      </c>
    </row>
    <row r="11" spans="1:2" x14ac:dyDescent="0.3">
      <c r="A11" t="s">
        <v>38</v>
      </c>
      <c r="B11" s="6">
        <v>504.09000000000003</v>
      </c>
    </row>
    <row r="12" spans="1:2" x14ac:dyDescent="0.3">
      <c r="A12" t="s">
        <v>39</v>
      </c>
      <c r="B12" s="6">
        <v>678.42000000000007</v>
      </c>
    </row>
    <row r="13" spans="1:2" x14ac:dyDescent="0.3">
      <c r="A13" t="s">
        <v>40</v>
      </c>
      <c r="B13" s="6">
        <v>117.9</v>
      </c>
    </row>
    <row r="14" spans="1:2" x14ac:dyDescent="0.3">
      <c r="A14" t="s">
        <v>28</v>
      </c>
      <c r="B14" s="6">
        <v>7173.4799999999987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F821-0C2E-4EBD-942B-050E10D714E5}">
  <sheetPr>
    <tabColor theme="5" tint="-0.249977111117893"/>
  </sheetPr>
  <dimension ref="A1"/>
  <sheetViews>
    <sheetView showGridLines="0" workbookViewId="0"/>
  </sheetViews>
  <sheetFormatPr defaultRowHeight="14.4" x14ac:dyDescent="0.3"/>
  <cols>
    <col min="1" max="1" width="2.88671875" customWidth="1"/>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8A77F-E240-4B6F-84DD-BD140F84A281}">
  <sheetPr>
    <tabColor theme="5" tint="0.59999389629810485"/>
  </sheetPr>
  <dimension ref="A1:E11"/>
  <sheetViews>
    <sheetView showGridLines="0" topLeftCell="A2" zoomScaleNormal="100" workbookViewId="0">
      <selection activeCell="C6" sqref="C6"/>
    </sheetView>
  </sheetViews>
  <sheetFormatPr defaultRowHeight="14.4" x14ac:dyDescent="0.3"/>
  <cols>
    <col min="3" max="3" width="28.5546875" customWidth="1"/>
  </cols>
  <sheetData>
    <row r="1" spans="1:5" ht="15.75" customHeight="1" x14ac:dyDescent="0.3"/>
    <row r="2" spans="1:5" ht="15.75" customHeight="1" x14ac:dyDescent="0.5">
      <c r="C2" s="45" t="s">
        <v>43</v>
      </c>
      <c r="D2" s="15"/>
      <c r="E2" s="15"/>
    </row>
    <row r="3" spans="1:5" ht="15.75" customHeight="1" x14ac:dyDescent="0.5">
      <c r="C3" s="45"/>
      <c r="D3" s="15"/>
      <c r="E3" s="15"/>
    </row>
    <row r="4" spans="1:5" ht="15.75" customHeight="1" thickBot="1" x14ac:dyDescent="0.55000000000000004">
      <c r="A4" s="16"/>
      <c r="B4" s="16"/>
      <c r="C4" s="46"/>
      <c r="D4" s="15"/>
      <c r="E4" s="15"/>
    </row>
    <row r="5" spans="1:5" ht="15.75" customHeight="1" thickBot="1" x14ac:dyDescent="0.35"/>
    <row r="6" spans="1:5" ht="15.75" customHeight="1" thickBot="1" x14ac:dyDescent="0.35">
      <c r="B6" s="4" t="s">
        <v>45</v>
      </c>
      <c r="C6" s="39" t="s">
        <v>106</v>
      </c>
    </row>
    <row r="7" spans="1:5" ht="15.75" customHeight="1" thickBot="1" x14ac:dyDescent="0.35"/>
    <row r="8" spans="1:5" ht="15.75" customHeight="1" thickBot="1" x14ac:dyDescent="0.35">
      <c r="B8" s="4" t="s">
        <v>137</v>
      </c>
      <c r="C8" s="17">
        <f>IFERROR(INDEX('Beer Prices'!$A$1:$E$31,MATCH('Team Selector'!$C$6,'Beer Prices'!$A$1:$A$31,0),MATCH('Team Selector'!$B8,'Beer Prices'!$A$1:$E$1,0)),"-")</f>
        <v>6</v>
      </c>
    </row>
    <row r="9" spans="1:5" ht="15.75" customHeight="1" thickBot="1" x14ac:dyDescent="0.35">
      <c r="B9" s="4" t="s">
        <v>136</v>
      </c>
      <c r="C9" s="21">
        <f>IFERROR(INDEX('Beer Prices'!$A$1:$E$31,MATCH('Team Selector'!$C$6,'Beer Prices'!$A$1:$A$31,0),MATCH('Team Selector'!$B9,'Beer Prices'!$A$1:$E$1,0)),"-")</f>
        <v>12</v>
      </c>
    </row>
    <row r="10" spans="1:5" ht="15.75" customHeight="1" thickBot="1" x14ac:dyDescent="0.35"/>
    <row r="11" spans="1:5" ht="15.75" customHeight="1" thickBot="1" x14ac:dyDescent="0.35">
      <c r="B11" s="4" t="s">
        <v>633</v>
      </c>
      <c r="C11" s="20">
        <f>IFERROR(C8/C9,"-")</f>
        <v>0.5</v>
      </c>
    </row>
  </sheetData>
  <mergeCells count="1">
    <mergeCell ref="C2:C4"/>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4710F97-F4AA-41B8-A893-BAB1F284C85C}">
          <x14:formula1>
            <xm:f>'Beer Prices'!$A$2:$A$31</xm:f>
          </x14:formula1>
          <xm:sqref>C6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CCAAD-0F45-400A-AF28-A32F649A8BD1}">
  <sheetPr>
    <tabColor theme="5" tint="0.59999389629810485"/>
  </sheetPr>
  <dimension ref="A1:E31"/>
  <sheetViews>
    <sheetView topLeftCell="A8" workbookViewId="0">
      <selection activeCell="K5" sqref="K5"/>
    </sheetView>
  </sheetViews>
  <sheetFormatPr defaultRowHeight="14.4" outlineLevelCol="1" x14ac:dyDescent="0.3"/>
  <cols>
    <col min="1" max="1" width="21.44140625" bestFit="1" customWidth="1"/>
    <col min="2" max="3" width="14.33203125" customWidth="1" outlineLevel="1"/>
    <col min="5" max="5" width="9.6640625" customWidth="1"/>
  </cols>
  <sheetData>
    <row r="1" spans="1:5" x14ac:dyDescent="0.3">
      <c r="A1" s="18" t="s">
        <v>45</v>
      </c>
      <c r="B1" s="18" t="s">
        <v>46</v>
      </c>
      <c r="C1" s="18" t="s">
        <v>47</v>
      </c>
      <c r="D1" s="18" t="s">
        <v>137</v>
      </c>
      <c r="E1" s="18" t="s">
        <v>136</v>
      </c>
    </row>
    <row r="2" spans="1:5" x14ac:dyDescent="0.3">
      <c r="A2" t="s">
        <v>48</v>
      </c>
      <c r="B2" t="s">
        <v>49</v>
      </c>
      <c r="C2" t="s">
        <v>50</v>
      </c>
      <c r="D2" s="19">
        <v>4</v>
      </c>
      <c r="E2" s="1">
        <v>14</v>
      </c>
    </row>
    <row r="3" spans="1:5" x14ac:dyDescent="0.3">
      <c r="A3" t="s">
        <v>51</v>
      </c>
      <c r="B3" t="s">
        <v>52</v>
      </c>
      <c r="C3" t="s">
        <v>53</v>
      </c>
      <c r="D3" s="19">
        <v>5</v>
      </c>
      <c r="E3" s="1">
        <v>12</v>
      </c>
    </row>
    <row r="4" spans="1:5" x14ac:dyDescent="0.3">
      <c r="A4" t="s">
        <v>54</v>
      </c>
      <c r="B4" t="s">
        <v>55</v>
      </c>
      <c r="C4" t="s">
        <v>56</v>
      </c>
      <c r="D4" s="19">
        <v>4</v>
      </c>
      <c r="E4" s="1">
        <v>12</v>
      </c>
    </row>
    <row r="5" spans="1:5" x14ac:dyDescent="0.3">
      <c r="A5" t="s">
        <v>57</v>
      </c>
      <c r="B5" t="s">
        <v>58</v>
      </c>
      <c r="C5" t="s">
        <v>59</v>
      </c>
      <c r="D5" s="19">
        <v>8</v>
      </c>
      <c r="E5" s="1">
        <v>12</v>
      </c>
    </row>
    <row r="6" spans="1:5" x14ac:dyDescent="0.3">
      <c r="A6" t="s">
        <v>60</v>
      </c>
      <c r="B6" t="s">
        <v>61</v>
      </c>
      <c r="C6" t="s">
        <v>62</v>
      </c>
      <c r="D6" s="19">
        <v>9</v>
      </c>
      <c r="E6" s="1">
        <v>20</v>
      </c>
    </row>
    <row r="7" spans="1:5" x14ac:dyDescent="0.3">
      <c r="A7" t="s">
        <v>63</v>
      </c>
      <c r="B7" t="s">
        <v>64</v>
      </c>
      <c r="C7" t="s">
        <v>62</v>
      </c>
      <c r="D7" s="19">
        <v>7</v>
      </c>
      <c r="E7" s="1">
        <v>16</v>
      </c>
    </row>
    <row r="8" spans="1:5" x14ac:dyDescent="0.3">
      <c r="A8" t="s">
        <v>65</v>
      </c>
      <c r="B8" t="s">
        <v>66</v>
      </c>
      <c r="C8" t="s">
        <v>67</v>
      </c>
      <c r="D8" s="19">
        <v>6.25</v>
      </c>
      <c r="E8" s="1">
        <v>14</v>
      </c>
    </row>
    <row r="9" spans="1:5" x14ac:dyDescent="0.3">
      <c r="A9" t="s">
        <v>68</v>
      </c>
      <c r="B9" t="s">
        <v>69</v>
      </c>
      <c r="C9" t="s">
        <v>70</v>
      </c>
      <c r="D9" s="19">
        <v>5</v>
      </c>
      <c r="E9" s="1">
        <v>12</v>
      </c>
    </row>
    <row r="10" spans="1:5" x14ac:dyDescent="0.3">
      <c r="A10" t="s">
        <v>71</v>
      </c>
      <c r="B10" t="s">
        <v>72</v>
      </c>
      <c r="C10" t="s">
        <v>73</v>
      </c>
      <c r="D10" s="19">
        <v>3</v>
      </c>
      <c r="E10" s="1">
        <v>12</v>
      </c>
    </row>
    <row r="11" spans="1:5" x14ac:dyDescent="0.3">
      <c r="A11" t="s">
        <v>74</v>
      </c>
      <c r="B11" t="s">
        <v>75</v>
      </c>
      <c r="C11" t="s">
        <v>76</v>
      </c>
      <c r="D11" s="19">
        <v>5</v>
      </c>
      <c r="E11" s="1">
        <v>12</v>
      </c>
    </row>
    <row r="12" spans="1:5" x14ac:dyDescent="0.3">
      <c r="A12" t="s">
        <v>77</v>
      </c>
      <c r="B12" t="s">
        <v>78</v>
      </c>
      <c r="C12" t="s">
        <v>79</v>
      </c>
      <c r="D12" s="19">
        <v>6</v>
      </c>
      <c r="E12" s="1">
        <v>14</v>
      </c>
    </row>
    <row r="13" spans="1:5" x14ac:dyDescent="0.3">
      <c r="A13" t="s">
        <v>80</v>
      </c>
      <c r="B13" t="s">
        <v>81</v>
      </c>
      <c r="C13" t="s">
        <v>82</v>
      </c>
      <c r="D13" s="19">
        <v>4</v>
      </c>
      <c r="E13" s="1">
        <v>12</v>
      </c>
    </row>
    <row r="14" spans="1:5" x14ac:dyDescent="0.3">
      <c r="A14" t="s">
        <v>83</v>
      </c>
      <c r="B14" t="s">
        <v>84</v>
      </c>
      <c r="C14" t="s">
        <v>85</v>
      </c>
      <c r="D14" s="19">
        <v>4.5</v>
      </c>
      <c r="E14" s="1">
        <v>12</v>
      </c>
    </row>
    <row r="15" spans="1:5" x14ac:dyDescent="0.3">
      <c r="A15" t="s">
        <v>86</v>
      </c>
      <c r="B15" t="s">
        <v>87</v>
      </c>
      <c r="C15" t="s">
        <v>88</v>
      </c>
      <c r="D15" s="19">
        <v>6.25</v>
      </c>
      <c r="E15" s="1">
        <v>16</v>
      </c>
    </row>
    <row r="16" spans="1:5" x14ac:dyDescent="0.3">
      <c r="A16" t="s">
        <v>89</v>
      </c>
      <c r="B16" t="s">
        <v>90</v>
      </c>
      <c r="C16" t="s">
        <v>91</v>
      </c>
      <c r="D16" s="19">
        <v>6</v>
      </c>
      <c r="E16" s="1">
        <v>12</v>
      </c>
    </row>
    <row r="17" spans="1:5" x14ac:dyDescent="0.3">
      <c r="A17" t="s">
        <v>92</v>
      </c>
      <c r="B17" t="s">
        <v>93</v>
      </c>
      <c r="C17" t="s">
        <v>94</v>
      </c>
      <c r="D17" s="19">
        <v>7</v>
      </c>
      <c r="E17" s="1">
        <v>16</v>
      </c>
    </row>
    <row r="18" spans="1:5" x14ac:dyDescent="0.3">
      <c r="A18" t="s">
        <v>95</v>
      </c>
      <c r="B18" t="s">
        <v>96</v>
      </c>
      <c r="C18" t="s">
        <v>97</v>
      </c>
      <c r="D18" s="19">
        <v>8.5</v>
      </c>
      <c r="E18" s="1">
        <v>20</v>
      </c>
    </row>
    <row r="19" spans="1:5" x14ac:dyDescent="0.3">
      <c r="A19" t="s">
        <v>98</v>
      </c>
      <c r="B19" t="s">
        <v>99</v>
      </c>
      <c r="C19" t="s">
        <v>100</v>
      </c>
      <c r="D19" s="19">
        <v>10.5</v>
      </c>
      <c r="E19" s="1">
        <v>20</v>
      </c>
    </row>
    <row r="20" spans="1:5" x14ac:dyDescent="0.3">
      <c r="A20" t="s">
        <v>101</v>
      </c>
      <c r="B20" t="s">
        <v>102</v>
      </c>
      <c r="C20" t="s">
        <v>100</v>
      </c>
      <c r="D20" s="19">
        <v>6</v>
      </c>
      <c r="E20" s="1">
        <v>12</v>
      </c>
    </row>
    <row r="21" spans="1:5" x14ac:dyDescent="0.3">
      <c r="A21" t="s">
        <v>103</v>
      </c>
      <c r="B21" t="s">
        <v>104</v>
      </c>
      <c r="C21" t="s">
        <v>105</v>
      </c>
      <c r="D21" s="19">
        <v>5.5</v>
      </c>
      <c r="E21" s="1">
        <v>12</v>
      </c>
    </row>
    <row r="22" spans="1:5" x14ac:dyDescent="0.3">
      <c r="A22" t="s">
        <v>106</v>
      </c>
      <c r="B22" t="s">
        <v>107</v>
      </c>
      <c r="C22" t="s">
        <v>108</v>
      </c>
      <c r="D22" s="19">
        <v>6</v>
      </c>
      <c r="E22" s="1">
        <v>12</v>
      </c>
    </row>
    <row r="23" spans="1:5" x14ac:dyDescent="0.3">
      <c r="A23" t="s">
        <v>109</v>
      </c>
      <c r="B23" t="s">
        <v>110</v>
      </c>
      <c r="C23" t="s">
        <v>111</v>
      </c>
      <c r="D23" s="19">
        <v>6</v>
      </c>
      <c r="E23" s="1">
        <v>16</v>
      </c>
    </row>
    <row r="24" spans="1:5" x14ac:dyDescent="0.3">
      <c r="A24" t="s">
        <v>112</v>
      </c>
      <c r="B24" t="s">
        <v>113</v>
      </c>
      <c r="C24" t="s">
        <v>114</v>
      </c>
      <c r="D24" s="19">
        <v>5</v>
      </c>
      <c r="E24" s="1">
        <v>12</v>
      </c>
    </row>
    <row r="25" spans="1:5" x14ac:dyDescent="0.3">
      <c r="A25" t="s">
        <v>115</v>
      </c>
      <c r="B25" t="s">
        <v>116</v>
      </c>
      <c r="C25" t="s">
        <v>117</v>
      </c>
      <c r="D25" s="19">
        <v>8.25</v>
      </c>
      <c r="E25" s="1">
        <v>14</v>
      </c>
    </row>
    <row r="26" spans="1:5" x14ac:dyDescent="0.3">
      <c r="A26" t="s">
        <v>118</v>
      </c>
      <c r="B26" t="s">
        <v>119</v>
      </c>
      <c r="C26" t="s">
        <v>120</v>
      </c>
      <c r="D26" s="19">
        <v>5</v>
      </c>
      <c r="E26" s="1">
        <v>12</v>
      </c>
    </row>
    <row r="27" spans="1:5" x14ac:dyDescent="0.3">
      <c r="A27" t="s">
        <v>121</v>
      </c>
      <c r="B27" t="s">
        <v>122</v>
      </c>
      <c r="C27" t="s">
        <v>123</v>
      </c>
      <c r="D27" s="19">
        <v>5</v>
      </c>
      <c r="E27" s="1">
        <v>12</v>
      </c>
    </row>
    <row r="28" spans="1:5" x14ac:dyDescent="0.3">
      <c r="A28" t="s">
        <v>124</v>
      </c>
      <c r="B28" t="s">
        <v>125</v>
      </c>
      <c r="C28" t="s">
        <v>126</v>
      </c>
      <c r="D28" s="19">
        <v>5</v>
      </c>
      <c r="E28" s="1">
        <v>12</v>
      </c>
    </row>
    <row r="29" spans="1:5" x14ac:dyDescent="0.3">
      <c r="A29" t="s">
        <v>127</v>
      </c>
      <c r="B29" t="s">
        <v>128</v>
      </c>
      <c r="C29" t="s">
        <v>129</v>
      </c>
      <c r="D29" s="19">
        <v>6</v>
      </c>
      <c r="E29" s="1">
        <v>16</v>
      </c>
    </row>
    <row r="30" spans="1:5" x14ac:dyDescent="0.3">
      <c r="A30" t="s">
        <v>130</v>
      </c>
      <c r="B30" t="s">
        <v>131</v>
      </c>
      <c r="C30" t="s">
        <v>132</v>
      </c>
      <c r="D30" s="19">
        <v>5.67</v>
      </c>
      <c r="E30" s="1">
        <v>14</v>
      </c>
    </row>
    <row r="31" spans="1:5" x14ac:dyDescent="0.3">
      <c r="A31" t="s">
        <v>133</v>
      </c>
      <c r="B31" t="s">
        <v>134</v>
      </c>
      <c r="C31" t="s">
        <v>135</v>
      </c>
      <c r="D31" s="19">
        <v>7</v>
      </c>
      <c r="E31" s="1">
        <v>14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37877-E444-4725-9857-A307A1D29154}">
  <sheetPr>
    <tabColor theme="5" tint="0.59999389629810485"/>
  </sheetPr>
  <dimension ref="A1:G31"/>
  <sheetViews>
    <sheetView workbookViewId="0">
      <selection activeCell="G3" sqref="G3"/>
    </sheetView>
  </sheetViews>
  <sheetFormatPr defaultRowHeight="14.4" x14ac:dyDescent="0.3"/>
  <cols>
    <col min="1" max="1" width="21.44140625" bestFit="1" customWidth="1"/>
    <col min="7" max="7" width="11.44140625" customWidth="1"/>
  </cols>
  <sheetData>
    <row r="1" spans="1:7" x14ac:dyDescent="0.3">
      <c r="A1" s="18" t="s">
        <v>45</v>
      </c>
      <c r="B1" s="18" t="s">
        <v>138</v>
      </c>
      <c r="C1" s="18" t="s">
        <v>139</v>
      </c>
      <c r="D1" s="18" t="s">
        <v>140</v>
      </c>
      <c r="E1" s="18" t="s">
        <v>141</v>
      </c>
      <c r="F1" s="18" t="s">
        <v>142</v>
      </c>
      <c r="G1" s="18" t="s">
        <v>143</v>
      </c>
    </row>
    <row r="2" spans="1:7" x14ac:dyDescent="0.3">
      <c r="A2" t="s">
        <v>48</v>
      </c>
      <c r="B2" s="1">
        <v>0.28999999999999998</v>
      </c>
      <c r="C2" s="1">
        <v>0.28999999999999998</v>
      </c>
      <c r="D2" s="1">
        <v>0.28999999999999998</v>
      </c>
      <c r="E2" s="1">
        <v>0.28999999999999998</v>
      </c>
      <c r="F2" s="1">
        <v>0.28999999999999998</v>
      </c>
      <c r="G2" t="str">
        <f>IF(PricePerOunce[[#This Row],[2018]]=PricePerOunce[[#This Row],[2013]],"None",IF(OR(PricePerOunce[[#This Row],[2018]]&gt;PricePerOunce[[#This Row],[2016]],PricePerOunce[[#This Row],[2018]]&gt;AVERAGE(PricePerOunce[[#This Row],[2013]:[2016]])),"Increase","Decrease"))</f>
        <v>None</v>
      </c>
    </row>
    <row r="3" spans="1:7" x14ac:dyDescent="0.3">
      <c r="A3" t="s">
        <v>51</v>
      </c>
      <c r="B3" s="1">
        <v>0.45</v>
      </c>
      <c r="C3" s="1">
        <v>0.45</v>
      </c>
      <c r="D3" s="1">
        <v>0.45</v>
      </c>
      <c r="E3" s="1">
        <v>0.48</v>
      </c>
      <c r="F3" s="1">
        <v>0.42</v>
      </c>
      <c r="G3" t="str">
        <f>IF(PricePerOunce[[#This Row],[2018]]=PricePerOunce[[#This Row],[2013]],"None",IF(OR(PricePerOunce[[#This Row],[2018]]&gt;PricePerOunce[[#This Row],[2016]],PricePerOunce[[#This Row],[2018]]&gt;AVERAGE(PricePerOunce[[#This Row],[2013]:[2016]])),"Increase","Decrease"))</f>
        <v>Decrease</v>
      </c>
    </row>
    <row r="4" spans="1:7" x14ac:dyDescent="0.3">
      <c r="A4" t="s">
        <v>54</v>
      </c>
      <c r="B4" s="1">
        <v>0.38</v>
      </c>
      <c r="C4" s="1">
        <v>0.42</v>
      </c>
      <c r="D4" s="1">
        <v>0.42</v>
      </c>
      <c r="E4" s="1">
        <v>0.42</v>
      </c>
      <c r="F4" s="1">
        <v>0.33</v>
      </c>
      <c r="G4" t="str">
        <f>IF(PricePerOunce[[#This Row],[2018]]=PricePerOunce[[#This Row],[2013]],"None",IF(OR(PricePerOunce[[#This Row],[2018]]&gt;PricePerOunce[[#This Row],[2016]],PricePerOunce[[#This Row],[2018]]&gt;AVERAGE(PricePerOunce[[#This Row],[2013]:[2016]])),"Increase","Decrease"))</f>
        <v>Decrease</v>
      </c>
    </row>
    <row r="5" spans="1:7" x14ac:dyDescent="0.3">
      <c r="A5" t="s">
        <v>57</v>
      </c>
      <c r="B5" s="1">
        <v>0.6</v>
      </c>
      <c r="C5" s="1">
        <v>0.65</v>
      </c>
      <c r="D5" s="1">
        <v>0.65</v>
      </c>
      <c r="E5" s="1">
        <v>0.65</v>
      </c>
      <c r="F5" s="1">
        <v>0.67</v>
      </c>
      <c r="G5" t="str">
        <f>IF(PricePerOunce[[#This Row],[2018]]=PricePerOunce[[#This Row],[2013]],"None",IF(OR(PricePerOunce[[#This Row],[2018]]&gt;PricePerOunce[[#This Row],[2016]],PricePerOunce[[#This Row],[2018]]&gt;AVERAGE(PricePerOunce[[#This Row],[2013]:[2016]])),"Increase","Decrease"))</f>
        <v>Increase</v>
      </c>
    </row>
    <row r="6" spans="1:7" x14ac:dyDescent="0.3">
      <c r="A6" t="s">
        <v>60</v>
      </c>
      <c r="B6" s="1">
        <v>0.45</v>
      </c>
      <c r="C6" s="1">
        <v>0.47</v>
      </c>
      <c r="D6" s="1">
        <v>0.47</v>
      </c>
      <c r="E6" s="1">
        <v>0.47</v>
      </c>
      <c r="F6" s="1">
        <v>0.45</v>
      </c>
      <c r="G6" t="str">
        <f>IF(PricePerOunce[[#This Row],[2018]]=PricePerOunce[[#This Row],[2013]],"None",IF(OR(PricePerOunce[[#This Row],[2018]]&gt;PricePerOunce[[#This Row],[2016]],PricePerOunce[[#This Row],[2018]]&gt;AVERAGE(PricePerOunce[[#This Row],[2013]:[2016]])),"Increase","Decrease"))</f>
        <v>None</v>
      </c>
    </row>
    <row r="7" spans="1:7" x14ac:dyDescent="0.3">
      <c r="A7" t="s">
        <v>63</v>
      </c>
      <c r="B7" s="1">
        <v>0.41</v>
      </c>
      <c r="C7" s="1">
        <v>0.41</v>
      </c>
      <c r="D7" s="1">
        <v>0.41</v>
      </c>
      <c r="E7" s="1">
        <v>0.41</v>
      </c>
      <c r="F7" s="1">
        <v>0.44</v>
      </c>
      <c r="G7" t="str">
        <f>IF(PricePerOunce[[#This Row],[2018]]=PricePerOunce[[#This Row],[2013]],"None",IF(OR(PricePerOunce[[#This Row],[2018]]&gt;PricePerOunce[[#This Row],[2016]],PricePerOunce[[#This Row],[2018]]&gt;AVERAGE(PricePerOunce[[#This Row],[2013]:[2016]])),"Increase","Decrease"))</f>
        <v>Increase</v>
      </c>
    </row>
    <row r="8" spans="1:7" x14ac:dyDescent="0.3">
      <c r="A8" t="s">
        <v>65</v>
      </c>
      <c r="B8" s="1">
        <v>0.46</v>
      </c>
      <c r="C8" s="1">
        <v>0.46</v>
      </c>
      <c r="D8" s="1">
        <v>0.46</v>
      </c>
      <c r="E8" s="1">
        <v>0.38</v>
      </c>
      <c r="F8" s="1">
        <v>0.45</v>
      </c>
      <c r="G8" t="str">
        <f>IF(PricePerOunce[[#This Row],[2018]]=PricePerOunce[[#This Row],[2013]],"None",IF(OR(PricePerOunce[[#This Row],[2018]]&gt;PricePerOunce[[#This Row],[2016]],PricePerOunce[[#This Row],[2018]]&gt;AVERAGE(PricePerOunce[[#This Row],[2013]:[2016]])),"Increase","Decrease"))</f>
        <v>Increase</v>
      </c>
    </row>
    <row r="9" spans="1:7" x14ac:dyDescent="0.3">
      <c r="A9" t="s">
        <v>68</v>
      </c>
      <c r="B9" s="1">
        <v>0.33</v>
      </c>
      <c r="C9" s="1">
        <v>0.33</v>
      </c>
      <c r="D9" s="1">
        <v>0.33</v>
      </c>
      <c r="E9" s="1">
        <v>0.33</v>
      </c>
      <c r="F9" s="1">
        <v>0.42</v>
      </c>
      <c r="G9" t="str">
        <f>IF(PricePerOunce[[#This Row],[2018]]=PricePerOunce[[#This Row],[2013]],"None",IF(OR(PricePerOunce[[#This Row],[2018]]&gt;PricePerOunce[[#This Row],[2016]],PricePerOunce[[#This Row],[2018]]&gt;AVERAGE(PricePerOunce[[#This Row],[2013]:[2016]])),"Increase","Decrease"))</f>
        <v>Increase</v>
      </c>
    </row>
    <row r="10" spans="1:7" x14ac:dyDescent="0.3">
      <c r="A10" t="s">
        <v>71</v>
      </c>
      <c r="B10" s="1">
        <v>0.38</v>
      </c>
      <c r="C10" s="1">
        <v>0.38</v>
      </c>
      <c r="D10" s="1">
        <v>0.38</v>
      </c>
      <c r="E10" s="1">
        <v>0.25</v>
      </c>
      <c r="F10" s="1">
        <v>0.25</v>
      </c>
      <c r="G10" t="str">
        <f>IF(PricePerOunce[[#This Row],[2018]]=PricePerOunce[[#This Row],[2013]],"None",IF(OR(PricePerOunce[[#This Row],[2018]]&gt;PricePerOunce[[#This Row],[2016]],PricePerOunce[[#This Row],[2018]]&gt;AVERAGE(PricePerOunce[[#This Row],[2013]:[2016]])),"Increase","Decrease"))</f>
        <v>Decrease</v>
      </c>
    </row>
    <row r="11" spans="1:7" x14ac:dyDescent="0.3">
      <c r="A11" t="s">
        <v>74</v>
      </c>
      <c r="B11" s="1">
        <v>0.42</v>
      </c>
      <c r="C11" s="1">
        <v>0.42</v>
      </c>
      <c r="D11" s="1">
        <v>0.42</v>
      </c>
      <c r="E11" s="1">
        <v>0.42</v>
      </c>
      <c r="F11" s="1">
        <v>0.42</v>
      </c>
      <c r="G11" t="str">
        <f>IF(PricePerOunce[[#This Row],[2018]]=PricePerOunce[[#This Row],[2013]],"None",IF(OR(PricePerOunce[[#This Row],[2018]]&gt;PricePerOunce[[#This Row],[2016]],PricePerOunce[[#This Row],[2018]]&gt;AVERAGE(PricePerOunce[[#This Row],[2013]:[2016]])),"Increase","Decrease"))</f>
        <v>None</v>
      </c>
    </row>
    <row r="12" spans="1:7" x14ac:dyDescent="0.3">
      <c r="A12" t="s">
        <v>77</v>
      </c>
      <c r="B12" s="1">
        <v>0.36</v>
      </c>
      <c r="C12" s="1">
        <v>0.36</v>
      </c>
      <c r="D12" s="1">
        <v>0.36</v>
      </c>
      <c r="E12" s="1">
        <v>0.36</v>
      </c>
      <c r="F12" s="1">
        <v>0.43</v>
      </c>
      <c r="G12" t="str">
        <f>IF(PricePerOunce[[#This Row],[2018]]=PricePerOunce[[#This Row],[2013]],"None",IF(OR(PricePerOunce[[#This Row],[2018]]&gt;PricePerOunce[[#This Row],[2016]],PricePerOunce[[#This Row],[2018]]&gt;AVERAGE(PricePerOunce[[#This Row],[2013]:[2016]])),"Increase","Decrease"))</f>
        <v>Increase</v>
      </c>
    </row>
    <row r="13" spans="1:7" x14ac:dyDescent="0.3">
      <c r="A13" t="s">
        <v>80</v>
      </c>
      <c r="B13" s="1">
        <v>0.41</v>
      </c>
      <c r="C13" s="1">
        <v>0.41</v>
      </c>
      <c r="D13" s="1">
        <v>0.41</v>
      </c>
      <c r="E13" s="1">
        <v>0.41</v>
      </c>
      <c r="F13" s="1">
        <v>0.33</v>
      </c>
      <c r="G13" t="str">
        <f>IF(PricePerOunce[[#This Row],[2018]]=PricePerOunce[[#This Row],[2013]],"None",IF(OR(PricePerOunce[[#This Row],[2018]]&gt;PricePerOunce[[#This Row],[2016]],PricePerOunce[[#This Row],[2018]]&gt;AVERAGE(PricePerOunce[[#This Row],[2013]:[2016]])),"Increase","Decrease"))</f>
        <v>Decrease</v>
      </c>
    </row>
    <row r="14" spans="1:7" x14ac:dyDescent="0.3">
      <c r="A14" t="s">
        <v>83</v>
      </c>
      <c r="B14" s="1">
        <v>0.28000000000000003</v>
      </c>
      <c r="C14" s="1">
        <v>0.28000000000000003</v>
      </c>
      <c r="D14" s="1">
        <v>0.28000000000000003</v>
      </c>
      <c r="E14" s="1">
        <v>0.28000000000000003</v>
      </c>
      <c r="F14" s="1">
        <v>0.38</v>
      </c>
      <c r="G14" t="str">
        <f>IF(PricePerOunce[[#This Row],[2018]]=PricePerOunce[[#This Row],[2013]],"None",IF(OR(PricePerOunce[[#This Row],[2018]]&gt;PricePerOunce[[#This Row],[2016]],PricePerOunce[[#This Row],[2018]]&gt;AVERAGE(PricePerOunce[[#This Row],[2013]:[2016]])),"Increase","Decrease"))</f>
        <v>Increase</v>
      </c>
    </row>
    <row r="15" spans="1:7" x14ac:dyDescent="0.3">
      <c r="A15" t="s">
        <v>86</v>
      </c>
      <c r="B15" s="1">
        <v>0.39</v>
      </c>
      <c r="C15" s="1">
        <v>0.34</v>
      </c>
      <c r="D15" s="1">
        <v>0.34</v>
      </c>
      <c r="E15" s="1">
        <v>0.31</v>
      </c>
      <c r="F15" s="1">
        <v>0.39</v>
      </c>
      <c r="G15" t="str">
        <f>IF(PricePerOunce[[#This Row],[2018]]=PricePerOunce[[#This Row],[2013]],"None",IF(OR(PricePerOunce[[#This Row],[2018]]&gt;PricePerOunce[[#This Row],[2016]],PricePerOunce[[#This Row],[2018]]&gt;AVERAGE(PricePerOunce[[#This Row],[2013]:[2016]])),"Increase","Decrease"))</f>
        <v>None</v>
      </c>
    </row>
    <row r="16" spans="1:7" x14ac:dyDescent="0.3">
      <c r="A16" t="s">
        <v>89</v>
      </c>
      <c r="B16" s="1">
        <v>0.4</v>
      </c>
      <c r="C16" s="1">
        <v>0.5</v>
      </c>
      <c r="D16" s="1">
        <v>0.5</v>
      </c>
      <c r="E16" s="1">
        <v>0.5</v>
      </c>
      <c r="F16" s="1">
        <v>0.5</v>
      </c>
      <c r="G16" t="str">
        <f>IF(PricePerOunce[[#This Row],[2018]]=PricePerOunce[[#This Row],[2013]],"None",IF(OR(PricePerOunce[[#This Row],[2018]]&gt;PricePerOunce[[#This Row],[2016]],PricePerOunce[[#This Row],[2018]]&gt;AVERAGE(PricePerOunce[[#This Row],[2013]:[2016]])),"Increase","Decrease"))</f>
        <v>Increase</v>
      </c>
    </row>
    <row r="17" spans="1:7" x14ac:dyDescent="0.3">
      <c r="A17" t="s">
        <v>92</v>
      </c>
      <c r="B17" s="1">
        <v>0.38</v>
      </c>
      <c r="C17" s="1">
        <v>0.38</v>
      </c>
      <c r="D17" s="1">
        <v>0.38</v>
      </c>
      <c r="E17" s="1">
        <v>0.38</v>
      </c>
      <c r="F17" s="1">
        <v>0.44</v>
      </c>
      <c r="G17" t="str">
        <f>IF(PricePerOunce[[#This Row],[2018]]=PricePerOunce[[#This Row],[2013]],"None",IF(OR(PricePerOunce[[#This Row],[2018]]&gt;PricePerOunce[[#This Row],[2016]],PricePerOunce[[#This Row],[2018]]&gt;AVERAGE(PricePerOunce[[#This Row],[2013]:[2016]])),"Increase","Decrease"))</f>
        <v>Increase</v>
      </c>
    </row>
    <row r="18" spans="1:7" x14ac:dyDescent="0.3">
      <c r="A18" t="s">
        <v>95</v>
      </c>
      <c r="B18" s="1">
        <v>0.38</v>
      </c>
      <c r="C18" s="1">
        <v>0.38</v>
      </c>
      <c r="D18" s="1">
        <v>0.38</v>
      </c>
      <c r="E18" s="1">
        <v>0.38</v>
      </c>
      <c r="F18" s="1">
        <v>0.43</v>
      </c>
      <c r="G18" t="str">
        <f>IF(PricePerOunce[[#This Row],[2018]]=PricePerOunce[[#This Row],[2013]],"None",IF(OR(PricePerOunce[[#This Row],[2018]]&gt;PricePerOunce[[#This Row],[2016]],PricePerOunce[[#This Row],[2018]]&gt;AVERAGE(PricePerOunce[[#This Row],[2013]:[2016]])),"Increase","Decrease"))</f>
        <v>Increase</v>
      </c>
    </row>
    <row r="19" spans="1:7" x14ac:dyDescent="0.3">
      <c r="A19" t="s">
        <v>98</v>
      </c>
      <c r="B19" s="1">
        <v>0.48</v>
      </c>
      <c r="C19" s="1">
        <v>0.48</v>
      </c>
      <c r="D19" s="1">
        <v>0.48</v>
      </c>
      <c r="E19" s="1">
        <v>0.48</v>
      </c>
      <c r="F19" s="1">
        <v>0.53</v>
      </c>
      <c r="G19" t="str">
        <f>IF(PricePerOunce[[#This Row],[2018]]=PricePerOunce[[#This Row],[2013]],"None",IF(OR(PricePerOunce[[#This Row],[2018]]&gt;PricePerOunce[[#This Row],[2016]],PricePerOunce[[#This Row],[2018]]&gt;AVERAGE(PricePerOunce[[#This Row],[2013]:[2016]])),"Increase","Decrease"))</f>
        <v>Increase</v>
      </c>
    </row>
    <row r="20" spans="1:7" x14ac:dyDescent="0.3">
      <c r="A20" t="s">
        <v>101</v>
      </c>
      <c r="B20" s="1">
        <v>0.5</v>
      </c>
      <c r="C20" s="1">
        <v>0.5</v>
      </c>
      <c r="D20" s="1">
        <v>0.5</v>
      </c>
      <c r="E20" s="1">
        <v>0.5</v>
      </c>
      <c r="F20" s="1">
        <v>0.5</v>
      </c>
      <c r="G20" t="str">
        <f>IF(PricePerOunce[[#This Row],[2018]]=PricePerOunce[[#This Row],[2013]],"None",IF(OR(PricePerOunce[[#This Row],[2018]]&gt;PricePerOunce[[#This Row],[2016]],PricePerOunce[[#This Row],[2018]]&gt;AVERAGE(PricePerOunce[[#This Row],[2013]:[2016]])),"Increase","Decrease"))</f>
        <v>None</v>
      </c>
    </row>
    <row r="21" spans="1:7" x14ac:dyDescent="0.3">
      <c r="A21" t="s">
        <v>103</v>
      </c>
      <c r="B21" s="1">
        <v>0.36</v>
      </c>
      <c r="C21" s="1">
        <v>0.42</v>
      </c>
      <c r="D21" s="1">
        <v>0.42</v>
      </c>
      <c r="E21" s="1">
        <v>0.42</v>
      </c>
      <c r="F21" s="1">
        <v>0.46</v>
      </c>
      <c r="G21" t="str">
        <f>IF(PricePerOunce[[#This Row],[2018]]=PricePerOunce[[#This Row],[2013]],"None",IF(OR(PricePerOunce[[#This Row],[2018]]&gt;PricePerOunce[[#This Row],[2016]],PricePerOunce[[#This Row],[2018]]&gt;AVERAGE(PricePerOunce[[#This Row],[2013]:[2016]])),"Increase","Decrease"))</f>
        <v>Increase</v>
      </c>
    </row>
    <row r="22" spans="1:7" x14ac:dyDescent="0.3">
      <c r="A22" t="s">
        <v>106</v>
      </c>
      <c r="B22" s="1">
        <v>0.37</v>
      </c>
      <c r="C22" s="1">
        <v>0.37</v>
      </c>
      <c r="D22" s="1">
        <v>0.37</v>
      </c>
      <c r="E22" s="1">
        <v>0.37</v>
      </c>
      <c r="F22" s="1">
        <v>0.5</v>
      </c>
      <c r="G22" t="str">
        <f>IF(PricePerOunce[[#This Row],[2018]]=PricePerOunce[[#This Row],[2013]],"None",IF(OR(PricePerOunce[[#This Row],[2018]]&gt;PricePerOunce[[#This Row],[2016]],PricePerOunce[[#This Row],[2018]]&gt;AVERAGE(PricePerOunce[[#This Row],[2013]:[2016]])),"Increase","Decrease"))</f>
        <v>Increase</v>
      </c>
    </row>
    <row r="23" spans="1:7" x14ac:dyDescent="0.3">
      <c r="A23" t="s">
        <v>109</v>
      </c>
      <c r="B23" s="1">
        <v>0.34</v>
      </c>
      <c r="C23" s="1">
        <v>0.34</v>
      </c>
      <c r="D23" s="1">
        <v>0.34</v>
      </c>
      <c r="E23" s="1">
        <v>0.34</v>
      </c>
      <c r="F23" s="1">
        <v>0.38</v>
      </c>
      <c r="G23" t="str">
        <f>IF(PricePerOunce[[#This Row],[2018]]=PricePerOunce[[#This Row],[2013]],"None",IF(OR(PricePerOunce[[#This Row],[2018]]&gt;PricePerOunce[[#This Row],[2016]],PricePerOunce[[#This Row],[2018]]&gt;AVERAGE(PricePerOunce[[#This Row],[2013]:[2016]])),"Increase","Decrease"))</f>
        <v>Increase</v>
      </c>
    </row>
    <row r="24" spans="1:7" x14ac:dyDescent="0.3">
      <c r="A24" t="s">
        <v>112</v>
      </c>
      <c r="B24" s="1">
        <v>0.36</v>
      </c>
      <c r="C24" s="1">
        <v>0.36</v>
      </c>
      <c r="D24" s="1">
        <v>0.36</v>
      </c>
      <c r="E24" s="1">
        <v>0.36</v>
      </c>
      <c r="F24" s="1">
        <v>0.42</v>
      </c>
      <c r="G24" t="str">
        <f>IF(PricePerOunce[[#This Row],[2018]]=PricePerOunce[[#This Row],[2013]],"None",IF(OR(PricePerOunce[[#This Row],[2018]]&gt;PricePerOunce[[#This Row],[2016]],PricePerOunce[[#This Row],[2018]]&gt;AVERAGE(PricePerOunce[[#This Row],[2013]:[2016]])),"Increase","Decrease"))</f>
        <v>Increase</v>
      </c>
    </row>
    <row r="25" spans="1:7" x14ac:dyDescent="0.3">
      <c r="A25" t="s">
        <v>115</v>
      </c>
      <c r="B25" s="1">
        <v>0.42</v>
      </c>
      <c r="C25" s="1">
        <v>0.5</v>
      </c>
      <c r="D25" s="1">
        <v>0.5</v>
      </c>
      <c r="E25" s="1">
        <v>0.54</v>
      </c>
      <c r="F25" s="1">
        <v>0.59</v>
      </c>
      <c r="G25" t="str">
        <f>IF(PricePerOunce[[#This Row],[2018]]=PricePerOunce[[#This Row],[2013]],"None",IF(OR(PricePerOunce[[#This Row],[2018]]&gt;PricePerOunce[[#This Row],[2016]],PricePerOunce[[#This Row],[2018]]&gt;AVERAGE(PricePerOunce[[#This Row],[2013]:[2016]])),"Increase","Decrease"))</f>
        <v>Increase</v>
      </c>
    </row>
    <row r="26" spans="1:7" x14ac:dyDescent="0.3">
      <c r="A26" t="s">
        <v>118</v>
      </c>
      <c r="B26" s="1">
        <v>0.46</v>
      </c>
      <c r="C26" s="1">
        <v>0.5</v>
      </c>
      <c r="D26" s="1">
        <v>0.5</v>
      </c>
      <c r="E26" s="1">
        <v>0.38</v>
      </c>
      <c r="F26" s="1">
        <v>0.42</v>
      </c>
      <c r="G26" t="str">
        <f>IF(PricePerOunce[[#This Row],[2018]]=PricePerOunce[[#This Row],[2013]],"None",IF(OR(PricePerOunce[[#This Row],[2018]]&gt;PricePerOunce[[#This Row],[2016]],PricePerOunce[[#This Row],[2018]]&gt;AVERAGE(PricePerOunce[[#This Row],[2013]:[2016]])),"Increase","Decrease"))</f>
        <v>Increase</v>
      </c>
    </row>
    <row r="27" spans="1:7" x14ac:dyDescent="0.3">
      <c r="A27" t="s">
        <v>121</v>
      </c>
      <c r="B27" s="1">
        <v>0.56000000000000005</v>
      </c>
      <c r="C27" s="1">
        <v>0.56000000000000005</v>
      </c>
      <c r="D27" s="1">
        <v>0.56000000000000005</v>
      </c>
      <c r="E27" s="1">
        <v>0.42</v>
      </c>
      <c r="F27" s="1">
        <v>0.42</v>
      </c>
      <c r="G27" t="str">
        <f>IF(PricePerOunce[[#This Row],[2018]]=PricePerOunce[[#This Row],[2013]],"None",IF(OR(PricePerOunce[[#This Row],[2018]]&gt;PricePerOunce[[#This Row],[2016]],PricePerOunce[[#This Row],[2018]]&gt;AVERAGE(PricePerOunce[[#This Row],[2013]:[2016]])),"Increase","Decrease"))</f>
        <v>Decrease</v>
      </c>
    </row>
    <row r="28" spans="1:7" x14ac:dyDescent="0.3">
      <c r="A28" t="s">
        <v>124</v>
      </c>
      <c r="B28" s="1">
        <v>0.42</v>
      </c>
      <c r="C28" s="1">
        <v>0.42</v>
      </c>
      <c r="D28" s="1">
        <v>0.42</v>
      </c>
      <c r="E28" s="1">
        <v>0.42</v>
      </c>
      <c r="F28" s="1">
        <v>0.42</v>
      </c>
      <c r="G28" t="str">
        <f>IF(PricePerOunce[[#This Row],[2018]]=PricePerOunce[[#This Row],[2013]],"None",IF(OR(PricePerOunce[[#This Row],[2018]]&gt;PricePerOunce[[#This Row],[2016]],PricePerOunce[[#This Row],[2018]]&gt;AVERAGE(PricePerOunce[[#This Row],[2013]:[2016]])),"Increase","Decrease"))</f>
        <v>None</v>
      </c>
    </row>
    <row r="29" spans="1:7" x14ac:dyDescent="0.3">
      <c r="A29" t="s">
        <v>127</v>
      </c>
      <c r="B29" s="1">
        <v>0.31</v>
      </c>
      <c r="C29" s="1">
        <v>0.31</v>
      </c>
      <c r="D29" s="1">
        <v>0.31</v>
      </c>
      <c r="E29" s="1">
        <v>0.38</v>
      </c>
      <c r="F29" s="1">
        <v>0.38</v>
      </c>
      <c r="G29" t="str">
        <f>IF(PricePerOunce[[#This Row],[2018]]=PricePerOunce[[#This Row],[2013]],"None",IF(OR(PricePerOunce[[#This Row],[2018]]&gt;PricePerOunce[[#This Row],[2016]],PricePerOunce[[#This Row],[2018]]&gt;AVERAGE(PricePerOunce[[#This Row],[2013]:[2016]])),"Increase","Decrease"))</f>
        <v>Increase</v>
      </c>
    </row>
    <row r="30" spans="1:7" x14ac:dyDescent="0.3">
      <c r="A30" t="s">
        <v>130</v>
      </c>
      <c r="B30" s="1">
        <v>0.52</v>
      </c>
      <c r="C30" s="1">
        <v>0.49</v>
      </c>
      <c r="D30" s="1">
        <v>0.49</v>
      </c>
      <c r="E30" s="1">
        <v>0.49</v>
      </c>
      <c r="F30" s="1">
        <v>0.41</v>
      </c>
      <c r="G30" t="str">
        <f>IF(PricePerOunce[[#This Row],[2018]]=PricePerOunce[[#This Row],[2013]],"None",IF(OR(PricePerOunce[[#This Row],[2018]]&gt;PricePerOunce[[#This Row],[2016]],PricePerOunce[[#This Row],[2018]]&gt;AVERAGE(PricePerOunce[[#This Row],[2013]:[2016]])),"Increase","Decrease"))</f>
        <v>Decrease</v>
      </c>
    </row>
    <row r="31" spans="1:7" x14ac:dyDescent="0.3">
      <c r="A31" t="s">
        <v>133</v>
      </c>
      <c r="B31" s="1">
        <v>0.52</v>
      </c>
      <c r="C31" s="1">
        <v>0.41</v>
      </c>
      <c r="D31" s="1">
        <v>0.41</v>
      </c>
      <c r="E31" s="1">
        <v>0.41</v>
      </c>
      <c r="F31" s="1">
        <v>0.5</v>
      </c>
      <c r="G31" t="str">
        <f>IF(PricePerOunce[[#This Row],[2018]]=PricePerOunce[[#This Row],[2013]],"None",IF(OR(PricePerOunce[[#This Row],[2018]]&gt;PricePerOunce[[#This Row],[2016]],PricePerOunce[[#This Row],[2018]]&gt;AVERAGE(PricePerOunce[[#This Row],[2013]:[2016]])),"Increase","Decrease"))</f>
        <v>Increase</v>
      </c>
    </row>
  </sheetData>
  <conditionalFormatting sqref="B1:F1048576">
    <cfRule type="colorScale" priority="1">
      <colorScale>
        <cfvo type="min"/>
        <cfvo type="percentile" val="50"/>
        <cfvo type="max"/>
        <color rgb="FF63BE7B"/>
        <color rgb="FFFCFCFF"/>
        <color rgb="FFF8696B"/>
      </colorScale>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4DC98-164E-4A7E-B87A-D3F50E324558}">
  <sheetPr>
    <tabColor theme="9" tint="-0.249977111117893"/>
  </sheetPr>
  <dimension ref="A1"/>
  <sheetViews>
    <sheetView showGridLines="0" workbookViewId="0"/>
  </sheetViews>
  <sheetFormatPr defaultRowHeight="14.4" x14ac:dyDescent="0.3"/>
  <cols>
    <col min="1" max="1" width="2.88671875" customWidth="1"/>
  </cols>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0218F-302D-441B-9B0B-FB1DF647E442}">
  <sheetPr>
    <tabColor theme="9" tint="0.59999389629810485"/>
  </sheetPr>
  <dimension ref="A1:D182"/>
  <sheetViews>
    <sheetView workbookViewId="0">
      <selection activeCell="I14" sqref="I14"/>
    </sheetView>
  </sheetViews>
  <sheetFormatPr defaultRowHeight="14.4" x14ac:dyDescent="0.3"/>
  <cols>
    <col min="1" max="1" width="28.5546875" customWidth="1"/>
    <col min="2" max="2" width="25.6640625" customWidth="1"/>
    <col min="3" max="3" width="12.6640625" bestFit="1" customWidth="1"/>
    <col min="4" max="4" width="11.44140625" customWidth="1"/>
  </cols>
  <sheetData>
    <row r="1" spans="1:4" x14ac:dyDescent="0.3">
      <c r="A1" s="23" t="s">
        <v>0</v>
      </c>
      <c r="B1" s="23" t="s">
        <v>144</v>
      </c>
      <c r="C1" s="23" t="s">
        <v>319</v>
      </c>
      <c r="D1" s="23" t="s">
        <v>321</v>
      </c>
    </row>
    <row r="2" spans="1:4" x14ac:dyDescent="0.3">
      <c r="A2" t="s">
        <v>145</v>
      </c>
      <c r="B2" t="s">
        <v>146</v>
      </c>
      <c r="C2" s="22">
        <v>38041754</v>
      </c>
      <c r="D2" s="22">
        <v>652230</v>
      </c>
    </row>
    <row r="3" spans="1:4" x14ac:dyDescent="0.3">
      <c r="A3" t="s">
        <v>147</v>
      </c>
      <c r="B3" t="s">
        <v>148</v>
      </c>
      <c r="C3" s="22">
        <v>2854191</v>
      </c>
      <c r="D3" s="22">
        <v>28748</v>
      </c>
    </row>
    <row r="4" spans="1:4" x14ac:dyDescent="0.3">
      <c r="A4" t="s">
        <v>149</v>
      </c>
      <c r="B4" t="s">
        <v>150</v>
      </c>
      <c r="C4" s="22">
        <v>43053054</v>
      </c>
      <c r="D4" s="22">
        <v>2381741</v>
      </c>
    </row>
    <row r="5" spans="1:4" x14ac:dyDescent="0.3">
      <c r="A5" t="s">
        <v>151</v>
      </c>
      <c r="B5" t="s">
        <v>148</v>
      </c>
      <c r="C5" s="22">
        <v>77142</v>
      </c>
      <c r="D5" s="22">
        <v>468</v>
      </c>
    </row>
    <row r="6" spans="1:4" x14ac:dyDescent="0.3">
      <c r="A6" t="s">
        <v>152</v>
      </c>
      <c r="B6" t="s">
        <v>153</v>
      </c>
      <c r="C6" s="22">
        <v>31825295</v>
      </c>
      <c r="D6" s="22">
        <v>1246700</v>
      </c>
    </row>
    <row r="7" spans="1:4" x14ac:dyDescent="0.3">
      <c r="A7" t="s">
        <v>154</v>
      </c>
      <c r="B7" t="s">
        <v>155</v>
      </c>
      <c r="C7" s="22">
        <v>97118</v>
      </c>
      <c r="D7" s="22">
        <v>442.6</v>
      </c>
    </row>
    <row r="8" spans="1:4" x14ac:dyDescent="0.3">
      <c r="A8" t="s">
        <v>156</v>
      </c>
      <c r="B8" t="s">
        <v>155</v>
      </c>
      <c r="C8" s="22">
        <v>44938712</v>
      </c>
      <c r="D8" s="22">
        <v>2780400</v>
      </c>
    </row>
    <row r="9" spans="1:4" x14ac:dyDescent="0.3">
      <c r="A9" t="s">
        <v>157</v>
      </c>
      <c r="B9" t="s">
        <v>148</v>
      </c>
      <c r="C9" s="22">
        <v>2957731</v>
      </c>
      <c r="D9" s="22">
        <v>29743</v>
      </c>
    </row>
    <row r="10" spans="1:4" x14ac:dyDescent="0.3">
      <c r="A10" t="s">
        <v>158</v>
      </c>
      <c r="B10" t="s">
        <v>159</v>
      </c>
      <c r="C10" s="22">
        <v>25364307</v>
      </c>
      <c r="D10" s="22">
        <v>7741220</v>
      </c>
    </row>
    <row r="11" spans="1:4" x14ac:dyDescent="0.3">
      <c r="A11" t="s">
        <v>15</v>
      </c>
      <c r="B11" t="s">
        <v>148</v>
      </c>
      <c r="C11" s="22">
        <v>8877067</v>
      </c>
      <c r="D11" s="22">
        <v>83871</v>
      </c>
    </row>
    <row r="12" spans="1:4" x14ac:dyDescent="0.3">
      <c r="A12" t="s">
        <v>160</v>
      </c>
      <c r="B12" t="s">
        <v>148</v>
      </c>
      <c r="C12" s="22">
        <v>10023318</v>
      </c>
      <c r="D12" s="22">
        <v>86600</v>
      </c>
    </row>
    <row r="13" spans="1:4" x14ac:dyDescent="0.3">
      <c r="A13" t="s">
        <v>161</v>
      </c>
      <c r="B13" t="s">
        <v>150</v>
      </c>
      <c r="C13" s="22">
        <v>1641172</v>
      </c>
      <c r="D13" s="22">
        <v>765.3</v>
      </c>
    </row>
    <row r="14" spans="1:4" x14ac:dyDescent="0.3">
      <c r="A14" t="s">
        <v>162</v>
      </c>
      <c r="B14" t="s">
        <v>146</v>
      </c>
      <c r="C14" s="22">
        <v>163046161</v>
      </c>
      <c r="D14" s="22">
        <v>148460</v>
      </c>
    </row>
    <row r="15" spans="1:4" x14ac:dyDescent="0.3">
      <c r="A15" t="s">
        <v>163</v>
      </c>
      <c r="B15" t="s">
        <v>148</v>
      </c>
      <c r="C15" s="22">
        <v>9466856</v>
      </c>
      <c r="D15" s="22">
        <v>207600</v>
      </c>
    </row>
    <row r="16" spans="1:4" x14ac:dyDescent="0.3">
      <c r="A16" t="s">
        <v>11</v>
      </c>
      <c r="B16" t="s">
        <v>148</v>
      </c>
      <c r="C16" s="22">
        <v>11484055</v>
      </c>
      <c r="D16" s="22">
        <v>30528</v>
      </c>
    </row>
    <row r="17" spans="1:4" x14ac:dyDescent="0.3">
      <c r="A17" t="s">
        <v>164</v>
      </c>
      <c r="B17" t="s">
        <v>155</v>
      </c>
      <c r="C17" s="22">
        <v>390353</v>
      </c>
      <c r="D17" s="22">
        <v>22966</v>
      </c>
    </row>
    <row r="18" spans="1:4" x14ac:dyDescent="0.3">
      <c r="A18" t="s">
        <v>165</v>
      </c>
      <c r="B18" t="s">
        <v>153</v>
      </c>
      <c r="C18" s="22">
        <v>11801151</v>
      </c>
      <c r="D18" s="22">
        <v>112622</v>
      </c>
    </row>
    <row r="19" spans="1:4" x14ac:dyDescent="0.3">
      <c r="A19" t="s">
        <v>166</v>
      </c>
      <c r="B19" t="s">
        <v>146</v>
      </c>
      <c r="C19" s="22">
        <v>763092</v>
      </c>
      <c r="D19" s="22">
        <v>38394</v>
      </c>
    </row>
    <row r="20" spans="1:4" x14ac:dyDescent="0.3">
      <c r="A20" t="s">
        <v>167</v>
      </c>
      <c r="B20" t="s">
        <v>155</v>
      </c>
      <c r="C20" s="22">
        <v>11513100</v>
      </c>
      <c r="D20" s="22">
        <v>1098581</v>
      </c>
    </row>
    <row r="21" spans="1:4" x14ac:dyDescent="0.3">
      <c r="A21" t="s">
        <v>168</v>
      </c>
      <c r="B21" t="s">
        <v>148</v>
      </c>
      <c r="C21" s="22">
        <v>3301000</v>
      </c>
      <c r="D21" s="22">
        <v>51197</v>
      </c>
    </row>
    <row r="22" spans="1:4" x14ac:dyDescent="0.3">
      <c r="A22" t="s">
        <v>169</v>
      </c>
      <c r="B22" t="s">
        <v>153</v>
      </c>
      <c r="C22" s="22">
        <v>2303697</v>
      </c>
      <c r="D22" s="22">
        <v>581730</v>
      </c>
    </row>
    <row r="23" spans="1:4" x14ac:dyDescent="0.3">
      <c r="A23" t="s">
        <v>170</v>
      </c>
      <c r="B23" t="s">
        <v>155</v>
      </c>
      <c r="C23" s="22">
        <v>212559417</v>
      </c>
      <c r="D23" s="22">
        <v>8515770</v>
      </c>
    </row>
    <row r="24" spans="1:4" x14ac:dyDescent="0.3">
      <c r="A24" t="s">
        <v>171</v>
      </c>
      <c r="B24" t="s">
        <v>159</v>
      </c>
      <c r="C24" s="22">
        <v>433285</v>
      </c>
      <c r="D24" s="22">
        <v>5765</v>
      </c>
    </row>
    <row r="25" spans="1:4" x14ac:dyDescent="0.3">
      <c r="A25" t="s">
        <v>172</v>
      </c>
      <c r="B25" t="s">
        <v>148</v>
      </c>
      <c r="C25" s="22">
        <v>6975761</v>
      </c>
      <c r="D25" s="22">
        <v>110879</v>
      </c>
    </row>
    <row r="26" spans="1:4" x14ac:dyDescent="0.3">
      <c r="A26" t="s">
        <v>173</v>
      </c>
      <c r="B26" t="s">
        <v>153</v>
      </c>
      <c r="C26" s="22">
        <v>20321378</v>
      </c>
      <c r="D26" s="22">
        <v>274200</v>
      </c>
    </row>
    <row r="27" spans="1:4" x14ac:dyDescent="0.3">
      <c r="A27" t="s">
        <v>174</v>
      </c>
      <c r="B27" t="s">
        <v>153</v>
      </c>
      <c r="C27" s="22">
        <v>11530580</v>
      </c>
      <c r="D27" s="22">
        <v>27830</v>
      </c>
    </row>
    <row r="28" spans="1:4" x14ac:dyDescent="0.3">
      <c r="A28" t="s">
        <v>175</v>
      </c>
      <c r="B28" t="s">
        <v>153</v>
      </c>
      <c r="C28" s="22">
        <v>549935</v>
      </c>
      <c r="D28" s="22">
        <v>4033</v>
      </c>
    </row>
    <row r="29" spans="1:4" x14ac:dyDescent="0.3">
      <c r="A29" t="s">
        <v>176</v>
      </c>
      <c r="B29" t="s">
        <v>159</v>
      </c>
      <c r="C29" s="22">
        <v>16486542</v>
      </c>
      <c r="D29" s="22">
        <v>181035</v>
      </c>
    </row>
    <row r="30" spans="1:4" x14ac:dyDescent="0.3">
      <c r="A30" t="s">
        <v>177</v>
      </c>
      <c r="B30" t="s">
        <v>153</v>
      </c>
      <c r="C30" s="22">
        <v>25876380</v>
      </c>
      <c r="D30" s="22">
        <v>475440</v>
      </c>
    </row>
    <row r="31" spans="1:4" x14ac:dyDescent="0.3">
      <c r="A31" t="s">
        <v>178</v>
      </c>
      <c r="B31" t="s">
        <v>179</v>
      </c>
      <c r="C31" s="22">
        <v>37589262</v>
      </c>
      <c r="D31" s="22">
        <v>9984670</v>
      </c>
    </row>
    <row r="32" spans="1:4" x14ac:dyDescent="0.3">
      <c r="A32" t="s">
        <v>180</v>
      </c>
      <c r="B32" t="s">
        <v>153</v>
      </c>
      <c r="C32" s="22">
        <v>4745185</v>
      </c>
      <c r="D32" s="22">
        <v>622984</v>
      </c>
    </row>
    <row r="33" spans="1:4" x14ac:dyDescent="0.3">
      <c r="A33" t="s">
        <v>181</v>
      </c>
      <c r="B33" t="s">
        <v>153</v>
      </c>
      <c r="C33" s="22">
        <v>15946876</v>
      </c>
      <c r="D33" s="22">
        <v>1284000</v>
      </c>
    </row>
    <row r="34" spans="1:4" x14ac:dyDescent="0.3">
      <c r="A34" t="s">
        <v>182</v>
      </c>
      <c r="B34" t="s">
        <v>155</v>
      </c>
      <c r="C34" s="22">
        <v>18952038</v>
      </c>
      <c r="D34" s="22">
        <v>756096.3</v>
      </c>
    </row>
    <row r="35" spans="1:4" x14ac:dyDescent="0.3">
      <c r="A35" t="s">
        <v>183</v>
      </c>
      <c r="B35" t="s">
        <v>159</v>
      </c>
      <c r="C35" s="22">
        <v>1397715000</v>
      </c>
      <c r="D35" s="22">
        <v>9596960</v>
      </c>
    </row>
    <row r="36" spans="1:4" x14ac:dyDescent="0.3">
      <c r="A36" t="s">
        <v>184</v>
      </c>
      <c r="B36" t="s">
        <v>155</v>
      </c>
      <c r="C36" s="22">
        <v>50339443</v>
      </c>
      <c r="D36" s="22">
        <v>1138910</v>
      </c>
    </row>
    <row r="37" spans="1:4" x14ac:dyDescent="0.3">
      <c r="A37" t="s">
        <v>185</v>
      </c>
      <c r="B37" t="s">
        <v>153</v>
      </c>
      <c r="C37" s="22">
        <v>850886</v>
      </c>
      <c r="D37" s="22">
        <v>2235</v>
      </c>
    </row>
    <row r="38" spans="1:4" x14ac:dyDescent="0.3">
      <c r="A38" t="s">
        <v>186</v>
      </c>
      <c r="B38" t="s">
        <v>153</v>
      </c>
      <c r="C38" s="22">
        <v>86790567</v>
      </c>
      <c r="D38" s="22">
        <v>2344858</v>
      </c>
    </row>
    <row r="39" spans="1:4" x14ac:dyDescent="0.3">
      <c r="A39" t="s">
        <v>187</v>
      </c>
      <c r="B39" t="s">
        <v>153</v>
      </c>
      <c r="C39" s="22">
        <v>5380508</v>
      </c>
      <c r="D39" s="22">
        <v>342000</v>
      </c>
    </row>
    <row r="40" spans="1:4" x14ac:dyDescent="0.3">
      <c r="A40" t="s">
        <v>188</v>
      </c>
      <c r="B40" t="s">
        <v>155</v>
      </c>
      <c r="C40" s="22">
        <v>5047561</v>
      </c>
      <c r="D40" s="22">
        <v>51100</v>
      </c>
    </row>
    <row r="41" spans="1:4" x14ac:dyDescent="0.3">
      <c r="A41" t="s">
        <v>189</v>
      </c>
      <c r="B41" t="s">
        <v>153</v>
      </c>
      <c r="C41" s="22">
        <v>25716544</v>
      </c>
      <c r="D41" s="22">
        <v>322463</v>
      </c>
    </row>
    <row r="42" spans="1:4" x14ac:dyDescent="0.3">
      <c r="A42" t="s">
        <v>190</v>
      </c>
      <c r="B42" t="s">
        <v>148</v>
      </c>
      <c r="C42" s="22">
        <v>4067500</v>
      </c>
      <c r="D42" s="22">
        <v>56594</v>
      </c>
    </row>
    <row r="43" spans="1:4" x14ac:dyDescent="0.3">
      <c r="A43" t="s">
        <v>191</v>
      </c>
      <c r="B43" t="s">
        <v>148</v>
      </c>
      <c r="C43" s="22">
        <v>1198575</v>
      </c>
      <c r="D43" s="22">
        <v>9251</v>
      </c>
    </row>
    <row r="44" spans="1:4" x14ac:dyDescent="0.3">
      <c r="A44" t="s">
        <v>192</v>
      </c>
      <c r="B44" t="s">
        <v>148</v>
      </c>
      <c r="C44" s="22">
        <v>10669709</v>
      </c>
      <c r="D44" s="22">
        <v>78867</v>
      </c>
    </row>
    <row r="45" spans="1:4" x14ac:dyDescent="0.3">
      <c r="A45" t="s">
        <v>12</v>
      </c>
      <c r="B45" t="s">
        <v>148</v>
      </c>
      <c r="C45" s="22">
        <v>5818553</v>
      </c>
      <c r="D45" s="22">
        <v>43094</v>
      </c>
    </row>
    <row r="46" spans="1:4" x14ac:dyDescent="0.3">
      <c r="A46" t="s">
        <v>193</v>
      </c>
      <c r="B46" t="s">
        <v>150</v>
      </c>
      <c r="C46" s="22">
        <v>973560</v>
      </c>
      <c r="D46" s="22">
        <v>23200</v>
      </c>
    </row>
    <row r="47" spans="1:4" x14ac:dyDescent="0.3">
      <c r="A47" t="s">
        <v>194</v>
      </c>
      <c r="B47" t="s">
        <v>155</v>
      </c>
      <c r="C47" s="22">
        <v>71808</v>
      </c>
      <c r="D47" s="22">
        <v>751</v>
      </c>
    </row>
    <row r="48" spans="1:4" x14ac:dyDescent="0.3">
      <c r="A48" t="s">
        <v>195</v>
      </c>
      <c r="B48" t="s">
        <v>155</v>
      </c>
      <c r="C48" s="22">
        <v>10738958</v>
      </c>
      <c r="D48" s="22">
        <v>48670</v>
      </c>
    </row>
    <row r="49" spans="1:4" x14ac:dyDescent="0.3">
      <c r="A49" t="s">
        <v>196</v>
      </c>
      <c r="B49" t="s">
        <v>155</v>
      </c>
      <c r="C49" s="22">
        <v>17373662</v>
      </c>
      <c r="D49" s="22">
        <v>283561</v>
      </c>
    </row>
    <row r="50" spans="1:4" x14ac:dyDescent="0.3">
      <c r="A50" t="s">
        <v>197</v>
      </c>
      <c r="B50" t="s">
        <v>150</v>
      </c>
      <c r="C50" s="22">
        <v>100388073</v>
      </c>
      <c r="D50" s="22">
        <v>1001450</v>
      </c>
    </row>
    <row r="51" spans="1:4" x14ac:dyDescent="0.3">
      <c r="A51" t="s">
        <v>198</v>
      </c>
      <c r="B51" t="s">
        <v>155</v>
      </c>
      <c r="C51" s="22">
        <v>6453553</v>
      </c>
      <c r="D51" s="22">
        <v>21041</v>
      </c>
    </row>
    <row r="52" spans="1:4" x14ac:dyDescent="0.3">
      <c r="A52" t="s">
        <v>199</v>
      </c>
      <c r="B52" t="s">
        <v>153</v>
      </c>
      <c r="C52" s="22">
        <v>1355986</v>
      </c>
      <c r="D52" s="22">
        <v>28051</v>
      </c>
    </row>
    <row r="53" spans="1:4" x14ac:dyDescent="0.3">
      <c r="A53" t="s">
        <v>200</v>
      </c>
      <c r="B53" t="s">
        <v>148</v>
      </c>
      <c r="C53" s="22">
        <v>1326590</v>
      </c>
      <c r="D53" s="22">
        <v>45228</v>
      </c>
    </row>
    <row r="54" spans="1:4" x14ac:dyDescent="0.3">
      <c r="A54" t="s">
        <v>201</v>
      </c>
      <c r="B54" t="s">
        <v>153</v>
      </c>
      <c r="C54" s="22">
        <v>1093238</v>
      </c>
      <c r="D54" s="22">
        <v>17364</v>
      </c>
    </row>
    <row r="55" spans="1:4" x14ac:dyDescent="0.3">
      <c r="A55" t="s">
        <v>202</v>
      </c>
      <c r="B55" t="s">
        <v>153</v>
      </c>
      <c r="C55" s="22">
        <v>112078730</v>
      </c>
      <c r="D55" s="22">
        <v>1104300</v>
      </c>
    </row>
    <row r="56" spans="1:4" x14ac:dyDescent="0.3">
      <c r="A56" t="s">
        <v>203</v>
      </c>
      <c r="B56" t="s">
        <v>159</v>
      </c>
      <c r="C56" s="22">
        <v>889953</v>
      </c>
      <c r="D56" s="22">
        <v>18274</v>
      </c>
    </row>
    <row r="57" spans="1:4" x14ac:dyDescent="0.3">
      <c r="A57" t="s">
        <v>14</v>
      </c>
      <c r="B57" t="s">
        <v>148</v>
      </c>
      <c r="C57" s="22">
        <v>5520314</v>
      </c>
      <c r="D57" s="22">
        <v>338145</v>
      </c>
    </row>
    <row r="58" spans="1:4" x14ac:dyDescent="0.3">
      <c r="A58" t="s">
        <v>3</v>
      </c>
      <c r="B58" t="s">
        <v>148</v>
      </c>
      <c r="C58" s="22">
        <v>67059887</v>
      </c>
      <c r="D58" s="22">
        <v>643801</v>
      </c>
    </row>
    <row r="59" spans="1:4" x14ac:dyDescent="0.3">
      <c r="A59" t="s">
        <v>204</v>
      </c>
      <c r="B59" t="s">
        <v>153</v>
      </c>
      <c r="C59" s="22">
        <v>2172579</v>
      </c>
      <c r="D59" s="22">
        <v>267667</v>
      </c>
    </row>
    <row r="60" spans="1:4" x14ac:dyDescent="0.3">
      <c r="A60" t="s">
        <v>205</v>
      </c>
      <c r="B60" t="s">
        <v>153</v>
      </c>
      <c r="C60" s="22">
        <v>2347706</v>
      </c>
      <c r="D60" s="22">
        <v>11300</v>
      </c>
    </row>
    <row r="61" spans="1:4" x14ac:dyDescent="0.3">
      <c r="A61" t="s">
        <v>206</v>
      </c>
      <c r="B61" t="s">
        <v>148</v>
      </c>
      <c r="C61" s="22">
        <v>3720382</v>
      </c>
      <c r="D61" s="22">
        <v>69700</v>
      </c>
    </row>
    <row r="62" spans="1:4" x14ac:dyDescent="0.3">
      <c r="A62" t="s">
        <v>5</v>
      </c>
      <c r="B62" t="s">
        <v>148</v>
      </c>
      <c r="C62" s="22">
        <v>83132799</v>
      </c>
      <c r="D62" s="22">
        <v>357022</v>
      </c>
    </row>
    <row r="63" spans="1:4" x14ac:dyDescent="0.3">
      <c r="A63" t="s">
        <v>207</v>
      </c>
      <c r="B63" t="s">
        <v>153</v>
      </c>
      <c r="C63" s="22">
        <v>30417856</v>
      </c>
      <c r="D63" s="22">
        <v>238533</v>
      </c>
    </row>
    <row r="64" spans="1:4" x14ac:dyDescent="0.3">
      <c r="A64" t="s">
        <v>208</v>
      </c>
      <c r="B64" t="s">
        <v>148</v>
      </c>
      <c r="C64" s="22">
        <v>10716322</v>
      </c>
      <c r="D64" s="22">
        <v>131957</v>
      </c>
    </row>
    <row r="65" spans="1:4" x14ac:dyDescent="0.3">
      <c r="A65" t="s">
        <v>209</v>
      </c>
      <c r="B65" t="s">
        <v>155</v>
      </c>
      <c r="C65" s="22">
        <v>112003</v>
      </c>
      <c r="D65" s="22">
        <v>348.5</v>
      </c>
    </row>
    <row r="66" spans="1:4" x14ac:dyDescent="0.3">
      <c r="A66" t="s">
        <v>210</v>
      </c>
      <c r="B66" t="s">
        <v>155</v>
      </c>
      <c r="C66" s="22">
        <v>16604026</v>
      </c>
      <c r="D66" s="22">
        <v>108889</v>
      </c>
    </row>
    <row r="67" spans="1:4" x14ac:dyDescent="0.3">
      <c r="A67" t="s">
        <v>211</v>
      </c>
      <c r="B67" t="s">
        <v>153</v>
      </c>
      <c r="C67" s="22">
        <v>12771246</v>
      </c>
      <c r="D67" s="22">
        <v>245857</v>
      </c>
    </row>
    <row r="68" spans="1:4" x14ac:dyDescent="0.3">
      <c r="A68" t="s">
        <v>212</v>
      </c>
      <c r="B68" t="s">
        <v>153</v>
      </c>
      <c r="C68" s="22">
        <v>1920922</v>
      </c>
      <c r="D68" s="22">
        <v>36125</v>
      </c>
    </row>
    <row r="69" spans="1:4" x14ac:dyDescent="0.3">
      <c r="A69" t="s">
        <v>213</v>
      </c>
      <c r="B69" t="s">
        <v>155</v>
      </c>
      <c r="C69" s="22">
        <v>782766</v>
      </c>
      <c r="D69" s="22">
        <v>214969</v>
      </c>
    </row>
    <row r="70" spans="1:4" x14ac:dyDescent="0.3">
      <c r="A70" t="s">
        <v>214</v>
      </c>
      <c r="B70" t="s">
        <v>155</v>
      </c>
      <c r="C70" s="22">
        <v>11263077</v>
      </c>
      <c r="D70" s="22">
        <v>27750</v>
      </c>
    </row>
    <row r="71" spans="1:4" x14ac:dyDescent="0.3">
      <c r="A71" t="s">
        <v>215</v>
      </c>
      <c r="B71" t="s">
        <v>155</v>
      </c>
      <c r="C71" s="22">
        <v>9746117</v>
      </c>
      <c r="D71" s="22">
        <v>112090</v>
      </c>
    </row>
    <row r="72" spans="1:4" x14ac:dyDescent="0.3">
      <c r="A72" t="s">
        <v>216</v>
      </c>
      <c r="B72" t="s">
        <v>159</v>
      </c>
      <c r="C72" s="22">
        <v>7507400</v>
      </c>
      <c r="D72" s="22">
        <v>1108</v>
      </c>
    </row>
    <row r="73" spans="1:4" x14ac:dyDescent="0.3">
      <c r="A73" t="s">
        <v>217</v>
      </c>
      <c r="B73" t="s">
        <v>148</v>
      </c>
      <c r="C73" s="22">
        <v>9769949</v>
      </c>
      <c r="D73" s="22">
        <v>93028</v>
      </c>
    </row>
    <row r="74" spans="1:4" x14ac:dyDescent="0.3">
      <c r="A74" t="s">
        <v>218</v>
      </c>
      <c r="B74" t="s">
        <v>148</v>
      </c>
      <c r="C74" s="22">
        <v>361313</v>
      </c>
      <c r="D74" s="22">
        <v>103000</v>
      </c>
    </row>
    <row r="75" spans="1:4" x14ac:dyDescent="0.3">
      <c r="A75" t="s">
        <v>219</v>
      </c>
      <c r="B75" t="s">
        <v>146</v>
      </c>
      <c r="C75" s="22">
        <v>1366417754</v>
      </c>
      <c r="D75" s="22">
        <v>3287263</v>
      </c>
    </row>
    <row r="76" spans="1:4" x14ac:dyDescent="0.3">
      <c r="A76" t="s">
        <v>220</v>
      </c>
      <c r="B76" t="s">
        <v>159</v>
      </c>
      <c r="C76" s="22">
        <v>270625568</v>
      </c>
      <c r="D76" s="22">
        <v>1904569</v>
      </c>
    </row>
    <row r="77" spans="1:4" x14ac:dyDescent="0.3">
      <c r="A77" t="s">
        <v>221</v>
      </c>
      <c r="B77" t="s">
        <v>150</v>
      </c>
      <c r="C77" s="22">
        <v>39309783</v>
      </c>
      <c r="D77" s="22">
        <v>438317</v>
      </c>
    </row>
    <row r="78" spans="1:4" x14ac:dyDescent="0.3">
      <c r="A78" t="s">
        <v>222</v>
      </c>
      <c r="B78" t="s">
        <v>148</v>
      </c>
      <c r="C78" s="22">
        <v>4941444</v>
      </c>
      <c r="D78" s="22">
        <v>70273</v>
      </c>
    </row>
    <row r="79" spans="1:4" x14ac:dyDescent="0.3">
      <c r="A79" t="s">
        <v>223</v>
      </c>
      <c r="B79" t="s">
        <v>150</v>
      </c>
      <c r="C79" s="22">
        <v>9053300</v>
      </c>
      <c r="D79" s="22">
        <v>20770</v>
      </c>
    </row>
    <row r="80" spans="1:4" x14ac:dyDescent="0.3">
      <c r="A80" t="s">
        <v>10</v>
      </c>
      <c r="B80" t="s">
        <v>148</v>
      </c>
      <c r="C80" s="22">
        <v>60297396</v>
      </c>
      <c r="D80" s="22">
        <v>301340</v>
      </c>
    </row>
    <row r="81" spans="1:4" x14ac:dyDescent="0.3">
      <c r="A81" t="s">
        <v>224</v>
      </c>
      <c r="B81" t="s">
        <v>155</v>
      </c>
      <c r="C81" s="22">
        <v>2948279</v>
      </c>
      <c r="D81" s="22">
        <v>10991</v>
      </c>
    </row>
    <row r="82" spans="1:4" x14ac:dyDescent="0.3">
      <c r="A82" t="s">
        <v>225</v>
      </c>
      <c r="B82" t="s">
        <v>159</v>
      </c>
      <c r="C82" s="22">
        <v>126264931</v>
      </c>
      <c r="D82" s="22">
        <v>377944</v>
      </c>
    </row>
    <row r="83" spans="1:4" x14ac:dyDescent="0.3">
      <c r="A83" t="s">
        <v>226</v>
      </c>
      <c r="B83" t="s">
        <v>150</v>
      </c>
      <c r="C83" s="22">
        <v>10101694</v>
      </c>
      <c r="D83" s="22">
        <v>89342</v>
      </c>
    </row>
    <row r="84" spans="1:4" x14ac:dyDescent="0.3">
      <c r="A84" t="s">
        <v>227</v>
      </c>
      <c r="B84" t="s">
        <v>148</v>
      </c>
      <c r="C84" s="22">
        <v>18513930</v>
      </c>
      <c r="D84" s="22">
        <v>2724900</v>
      </c>
    </row>
    <row r="85" spans="1:4" x14ac:dyDescent="0.3">
      <c r="A85" t="s">
        <v>228</v>
      </c>
      <c r="B85" t="s">
        <v>153</v>
      </c>
      <c r="C85" s="22">
        <v>52573973</v>
      </c>
      <c r="D85" s="22">
        <v>580367</v>
      </c>
    </row>
    <row r="86" spans="1:4" x14ac:dyDescent="0.3">
      <c r="A86" t="s">
        <v>229</v>
      </c>
      <c r="B86" t="s">
        <v>159</v>
      </c>
      <c r="C86" s="22">
        <v>117606</v>
      </c>
      <c r="D86" s="22">
        <v>811</v>
      </c>
    </row>
    <row r="87" spans="1:4" x14ac:dyDescent="0.3">
      <c r="A87" t="s">
        <v>230</v>
      </c>
      <c r="B87" t="s">
        <v>159</v>
      </c>
      <c r="C87" s="22">
        <v>51709098</v>
      </c>
      <c r="D87" s="22">
        <v>99720</v>
      </c>
    </row>
    <row r="88" spans="1:4" x14ac:dyDescent="0.3">
      <c r="A88" t="s">
        <v>231</v>
      </c>
      <c r="B88" t="s">
        <v>150</v>
      </c>
      <c r="C88" s="22">
        <v>4207083</v>
      </c>
      <c r="D88" s="22">
        <v>17818</v>
      </c>
    </row>
    <row r="89" spans="1:4" x14ac:dyDescent="0.3">
      <c r="A89" t="s">
        <v>232</v>
      </c>
      <c r="B89" t="s">
        <v>148</v>
      </c>
      <c r="C89" s="22">
        <v>6456900</v>
      </c>
      <c r="D89" s="22">
        <v>199951</v>
      </c>
    </row>
    <row r="90" spans="1:4" x14ac:dyDescent="0.3">
      <c r="A90" t="s">
        <v>233</v>
      </c>
      <c r="B90" t="s">
        <v>148</v>
      </c>
      <c r="C90" s="22">
        <v>1912789</v>
      </c>
      <c r="D90" s="22">
        <v>64589</v>
      </c>
    </row>
    <row r="91" spans="1:4" x14ac:dyDescent="0.3">
      <c r="A91" t="s">
        <v>234</v>
      </c>
      <c r="B91" t="s">
        <v>150</v>
      </c>
      <c r="C91" s="22">
        <v>6855713</v>
      </c>
      <c r="D91" s="22">
        <v>10400</v>
      </c>
    </row>
    <row r="92" spans="1:4" x14ac:dyDescent="0.3">
      <c r="A92" t="s">
        <v>235</v>
      </c>
      <c r="B92" t="s">
        <v>153</v>
      </c>
      <c r="C92" s="22">
        <v>2125268</v>
      </c>
      <c r="D92" s="22">
        <v>30355</v>
      </c>
    </row>
    <row r="93" spans="1:4" x14ac:dyDescent="0.3">
      <c r="A93" t="s">
        <v>236</v>
      </c>
      <c r="B93" t="s">
        <v>153</v>
      </c>
      <c r="C93" s="22">
        <v>4937374</v>
      </c>
      <c r="D93" s="22">
        <v>111369</v>
      </c>
    </row>
    <row r="94" spans="1:4" x14ac:dyDescent="0.3">
      <c r="A94" t="s">
        <v>237</v>
      </c>
      <c r="B94" t="s">
        <v>150</v>
      </c>
      <c r="C94" s="22">
        <v>6777452</v>
      </c>
      <c r="D94" s="22">
        <v>1759540</v>
      </c>
    </row>
    <row r="95" spans="1:4" x14ac:dyDescent="0.3">
      <c r="A95" t="s">
        <v>238</v>
      </c>
      <c r="B95" t="s">
        <v>148</v>
      </c>
      <c r="C95" s="22">
        <v>2786844</v>
      </c>
      <c r="D95" s="22">
        <v>65300</v>
      </c>
    </row>
    <row r="96" spans="1:4" x14ac:dyDescent="0.3">
      <c r="A96" t="s">
        <v>239</v>
      </c>
      <c r="B96" t="s">
        <v>148</v>
      </c>
      <c r="C96" s="22">
        <v>619896</v>
      </c>
      <c r="D96" s="22">
        <v>2586</v>
      </c>
    </row>
    <row r="97" spans="1:4" x14ac:dyDescent="0.3">
      <c r="A97" t="s">
        <v>240</v>
      </c>
      <c r="B97" t="s">
        <v>159</v>
      </c>
      <c r="C97" s="22">
        <v>696100</v>
      </c>
      <c r="D97" s="22">
        <v>28.2</v>
      </c>
    </row>
    <row r="98" spans="1:4" x14ac:dyDescent="0.3">
      <c r="A98" t="s">
        <v>241</v>
      </c>
      <c r="B98" t="s">
        <v>153</v>
      </c>
      <c r="C98" s="22">
        <v>26969307</v>
      </c>
      <c r="D98" s="22">
        <v>587041</v>
      </c>
    </row>
    <row r="99" spans="1:4" x14ac:dyDescent="0.3">
      <c r="A99" t="s">
        <v>242</v>
      </c>
      <c r="B99" t="s">
        <v>153</v>
      </c>
      <c r="C99" s="22">
        <v>18628747</v>
      </c>
      <c r="D99" s="22">
        <v>118484</v>
      </c>
    </row>
    <row r="100" spans="1:4" x14ac:dyDescent="0.3">
      <c r="A100" t="s">
        <v>243</v>
      </c>
      <c r="B100" t="s">
        <v>159</v>
      </c>
      <c r="C100" s="22">
        <v>31949777</v>
      </c>
      <c r="D100" s="22">
        <v>329847</v>
      </c>
    </row>
    <row r="101" spans="1:4" x14ac:dyDescent="0.3">
      <c r="A101" t="s">
        <v>244</v>
      </c>
      <c r="B101" t="s">
        <v>146</v>
      </c>
      <c r="C101" s="22">
        <v>530953</v>
      </c>
      <c r="D101" s="22">
        <v>298</v>
      </c>
    </row>
    <row r="102" spans="1:4" x14ac:dyDescent="0.3">
      <c r="A102" t="s">
        <v>245</v>
      </c>
      <c r="B102" t="s">
        <v>153</v>
      </c>
      <c r="C102" s="22">
        <v>19658031</v>
      </c>
      <c r="D102" s="22">
        <v>1240192</v>
      </c>
    </row>
    <row r="103" spans="1:4" x14ac:dyDescent="0.3">
      <c r="A103" t="s">
        <v>246</v>
      </c>
      <c r="B103" t="s">
        <v>150</v>
      </c>
      <c r="C103" s="22">
        <v>502653</v>
      </c>
      <c r="D103" s="22">
        <v>316</v>
      </c>
    </row>
    <row r="104" spans="1:4" x14ac:dyDescent="0.3">
      <c r="A104" t="s">
        <v>247</v>
      </c>
      <c r="B104" t="s">
        <v>159</v>
      </c>
      <c r="C104" s="22">
        <v>58791</v>
      </c>
      <c r="D104" s="22">
        <v>181</v>
      </c>
    </row>
    <row r="105" spans="1:4" x14ac:dyDescent="0.3">
      <c r="A105" t="s">
        <v>248</v>
      </c>
      <c r="B105" t="s">
        <v>153</v>
      </c>
      <c r="C105" s="22">
        <v>4525696</v>
      </c>
      <c r="D105" s="22">
        <v>1030700</v>
      </c>
    </row>
    <row r="106" spans="1:4" x14ac:dyDescent="0.3">
      <c r="A106" t="s">
        <v>249</v>
      </c>
      <c r="B106" t="s">
        <v>153</v>
      </c>
      <c r="C106" s="22">
        <v>1265711</v>
      </c>
      <c r="D106" s="22">
        <v>2040</v>
      </c>
    </row>
    <row r="107" spans="1:4" x14ac:dyDescent="0.3">
      <c r="A107" t="s">
        <v>250</v>
      </c>
      <c r="B107" t="s">
        <v>155</v>
      </c>
      <c r="C107" s="22">
        <v>127575529</v>
      </c>
      <c r="D107" s="22">
        <v>1964375</v>
      </c>
    </row>
    <row r="108" spans="1:4" x14ac:dyDescent="0.3">
      <c r="A108" t="s">
        <v>251</v>
      </c>
      <c r="B108" t="s">
        <v>148</v>
      </c>
      <c r="C108" s="22">
        <v>2657637</v>
      </c>
      <c r="D108" s="22">
        <v>33851</v>
      </c>
    </row>
    <row r="109" spans="1:4" x14ac:dyDescent="0.3">
      <c r="A109" t="s">
        <v>252</v>
      </c>
      <c r="B109" t="s">
        <v>159</v>
      </c>
      <c r="C109" s="22">
        <v>3225167</v>
      </c>
      <c r="D109" s="22">
        <v>1564116</v>
      </c>
    </row>
    <row r="110" spans="1:4" x14ac:dyDescent="0.3">
      <c r="A110" t="s">
        <v>253</v>
      </c>
      <c r="B110" t="s">
        <v>148</v>
      </c>
      <c r="C110" s="22">
        <v>622137</v>
      </c>
      <c r="D110" s="22">
        <v>13812</v>
      </c>
    </row>
    <row r="111" spans="1:4" x14ac:dyDescent="0.3">
      <c r="A111" t="s">
        <v>254</v>
      </c>
      <c r="B111" t="s">
        <v>150</v>
      </c>
      <c r="C111" s="22">
        <v>36471769</v>
      </c>
      <c r="D111" s="22">
        <v>446550</v>
      </c>
    </row>
    <row r="112" spans="1:4" x14ac:dyDescent="0.3">
      <c r="A112" t="s">
        <v>255</v>
      </c>
      <c r="B112" t="s">
        <v>153</v>
      </c>
      <c r="C112" s="22">
        <v>30366036</v>
      </c>
      <c r="D112" s="22">
        <v>799380</v>
      </c>
    </row>
    <row r="113" spans="1:4" x14ac:dyDescent="0.3">
      <c r="A113" t="s">
        <v>256</v>
      </c>
      <c r="B113" t="s">
        <v>159</v>
      </c>
      <c r="C113" s="22">
        <v>54045420</v>
      </c>
      <c r="D113" s="22">
        <v>676578</v>
      </c>
    </row>
    <row r="114" spans="1:4" x14ac:dyDescent="0.3">
      <c r="A114" t="s">
        <v>257</v>
      </c>
      <c r="B114" t="s">
        <v>153</v>
      </c>
      <c r="C114" s="22">
        <v>2494530</v>
      </c>
      <c r="D114" s="22">
        <v>824292</v>
      </c>
    </row>
    <row r="115" spans="1:4" x14ac:dyDescent="0.3">
      <c r="A115" t="s">
        <v>258</v>
      </c>
      <c r="B115" t="s">
        <v>146</v>
      </c>
      <c r="C115" s="22">
        <v>28608710</v>
      </c>
      <c r="D115" s="22">
        <v>147181</v>
      </c>
    </row>
    <row r="116" spans="1:4" x14ac:dyDescent="0.3">
      <c r="A116" t="s">
        <v>4</v>
      </c>
      <c r="B116" t="s">
        <v>148</v>
      </c>
      <c r="C116" s="22">
        <v>17332850</v>
      </c>
      <c r="D116" s="22">
        <v>41543</v>
      </c>
    </row>
    <row r="117" spans="1:4" x14ac:dyDescent="0.3">
      <c r="A117" t="s">
        <v>259</v>
      </c>
      <c r="B117" t="s">
        <v>159</v>
      </c>
      <c r="C117" s="22">
        <v>4699755</v>
      </c>
      <c r="D117" s="22">
        <v>268838</v>
      </c>
    </row>
    <row r="118" spans="1:4" x14ac:dyDescent="0.3">
      <c r="A118" t="s">
        <v>260</v>
      </c>
      <c r="B118" t="s">
        <v>155</v>
      </c>
      <c r="C118" s="22">
        <v>6545502</v>
      </c>
      <c r="D118" s="22">
        <v>130370</v>
      </c>
    </row>
    <row r="119" spans="1:4" x14ac:dyDescent="0.3">
      <c r="A119" t="s">
        <v>261</v>
      </c>
      <c r="B119" t="s">
        <v>153</v>
      </c>
      <c r="C119" s="22">
        <v>23310715</v>
      </c>
      <c r="D119" s="22">
        <v>1267000</v>
      </c>
    </row>
    <row r="120" spans="1:4" x14ac:dyDescent="0.3">
      <c r="A120" t="s">
        <v>262</v>
      </c>
      <c r="B120" t="s">
        <v>153</v>
      </c>
      <c r="C120" s="22">
        <v>200963599</v>
      </c>
      <c r="D120" s="22">
        <v>923768</v>
      </c>
    </row>
    <row r="121" spans="1:4" x14ac:dyDescent="0.3">
      <c r="A121" t="s">
        <v>263</v>
      </c>
      <c r="B121" t="s">
        <v>148</v>
      </c>
      <c r="C121" s="22">
        <v>2107158</v>
      </c>
      <c r="D121" s="22">
        <v>25713</v>
      </c>
    </row>
    <row r="122" spans="1:4" x14ac:dyDescent="0.3">
      <c r="A122" t="s">
        <v>6</v>
      </c>
      <c r="B122" t="s">
        <v>148</v>
      </c>
      <c r="C122" s="22">
        <v>5347896</v>
      </c>
      <c r="D122" s="22">
        <v>323802</v>
      </c>
    </row>
    <row r="123" spans="1:4" x14ac:dyDescent="0.3">
      <c r="A123" t="s">
        <v>264</v>
      </c>
      <c r="B123" t="s">
        <v>150</v>
      </c>
      <c r="C123" s="22">
        <v>4974986</v>
      </c>
      <c r="D123" s="22">
        <v>309500</v>
      </c>
    </row>
    <row r="124" spans="1:4" x14ac:dyDescent="0.3">
      <c r="A124" t="s">
        <v>265</v>
      </c>
      <c r="B124" t="s">
        <v>146</v>
      </c>
      <c r="C124" s="22">
        <v>216565318</v>
      </c>
      <c r="D124" s="22">
        <v>796095</v>
      </c>
    </row>
    <row r="125" spans="1:4" x14ac:dyDescent="0.3">
      <c r="A125" t="s">
        <v>266</v>
      </c>
      <c r="B125" t="s">
        <v>159</v>
      </c>
      <c r="C125" s="22">
        <v>18008</v>
      </c>
      <c r="D125" s="22">
        <v>459</v>
      </c>
    </row>
    <row r="126" spans="1:4" x14ac:dyDescent="0.3">
      <c r="A126" t="s">
        <v>267</v>
      </c>
      <c r="B126" t="s">
        <v>155</v>
      </c>
      <c r="C126" s="22">
        <v>4246439</v>
      </c>
      <c r="D126" s="22">
        <v>75420</v>
      </c>
    </row>
    <row r="127" spans="1:4" x14ac:dyDescent="0.3">
      <c r="A127" t="s">
        <v>268</v>
      </c>
      <c r="B127" t="s">
        <v>159</v>
      </c>
      <c r="C127" s="22">
        <v>8776109</v>
      </c>
      <c r="D127" s="22">
        <v>462840</v>
      </c>
    </row>
    <row r="128" spans="1:4" x14ac:dyDescent="0.3">
      <c r="A128" t="s">
        <v>269</v>
      </c>
      <c r="B128" t="s">
        <v>155</v>
      </c>
      <c r="C128" s="22">
        <v>7044636</v>
      </c>
      <c r="D128" s="22">
        <v>406752</v>
      </c>
    </row>
    <row r="129" spans="1:4" x14ac:dyDescent="0.3">
      <c r="A129" t="s">
        <v>270</v>
      </c>
      <c r="B129" t="s">
        <v>155</v>
      </c>
      <c r="C129" s="22">
        <v>32510453</v>
      </c>
      <c r="D129" s="22">
        <v>1285216</v>
      </c>
    </row>
    <row r="130" spans="1:4" x14ac:dyDescent="0.3">
      <c r="A130" t="s">
        <v>271</v>
      </c>
      <c r="B130" t="s">
        <v>159</v>
      </c>
      <c r="C130" s="22">
        <v>108116615</v>
      </c>
      <c r="D130" s="22">
        <v>300000</v>
      </c>
    </row>
    <row r="131" spans="1:4" x14ac:dyDescent="0.3">
      <c r="A131" t="s">
        <v>272</v>
      </c>
      <c r="B131" t="s">
        <v>148</v>
      </c>
      <c r="C131" s="22">
        <v>37970874</v>
      </c>
      <c r="D131" s="22">
        <v>312685</v>
      </c>
    </row>
    <row r="132" spans="1:4" x14ac:dyDescent="0.3">
      <c r="A132" t="s">
        <v>9</v>
      </c>
      <c r="B132" t="s">
        <v>148</v>
      </c>
      <c r="C132" s="22">
        <v>10269417</v>
      </c>
      <c r="D132" s="22">
        <v>92212</v>
      </c>
    </row>
    <row r="133" spans="1:4" x14ac:dyDescent="0.3">
      <c r="A133" t="s">
        <v>273</v>
      </c>
      <c r="B133" t="s">
        <v>155</v>
      </c>
      <c r="C133" s="22">
        <v>3193694</v>
      </c>
      <c r="D133" s="22">
        <v>13791</v>
      </c>
    </row>
    <row r="134" spans="1:4" x14ac:dyDescent="0.3">
      <c r="A134" t="s">
        <v>274</v>
      </c>
      <c r="B134" t="s">
        <v>150</v>
      </c>
      <c r="C134" s="22">
        <v>2832067</v>
      </c>
      <c r="D134" s="22">
        <v>11586</v>
      </c>
    </row>
    <row r="135" spans="1:4" x14ac:dyDescent="0.3">
      <c r="A135" t="s">
        <v>275</v>
      </c>
      <c r="B135" t="s">
        <v>148</v>
      </c>
      <c r="C135" s="22">
        <v>19356544</v>
      </c>
      <c r="D135" s="22">
        <v>238391</v>
      </c>
    </row>
    <row r="136" spans="1:4" x14ac:dyDescent="0.3">
      <c r="A136" t="s">
        <v>276</v>
      </c>
      <c r="B136" t="s">
        <v>148</v>
      </c>
      <c r="C136" s="22">
        <v>144373535</v>
      </c>
      <c r="D136" s="22">
        <v>17098240</v>
      </c>
    </row>
    <row r="137" spans="1:4" x14ac:dyDescent="0.3">
      <c r="A137" t="s">
        <v>277</v>
      </c>
      <c r="B137" t="s">
        <v>153</v>
      </c>
      <c r="C137" s="22">
        <v>12626950</v>
      </c>
      <c r="D137" s="22">
        <v>26338</v>
      </c>
    </row>
    <row r="138" spans="1:4" x14ac:dyDescent="0.3">
      <c r="A138" t="s">
        <v>278</v>
      </c>
      <c r="B138" t="s">
        <v>159</v>
      </c>
      <c r="C138" s="22">
        <v>202506</v>
      </c>
      <c r="D138" s="22">
        <v>2831</v>
      </c>
    </row>
    <row r="139" spans="1:4" x14ac:dyDescent="0.3">
      <c r="A139" t="s">
        <v>279</v>
      </c>
      <c r="B139" t="s">
        <v>153</v>
      </c>
      <c r="C139" s="22">
        <v>215056</v>
      </c>
      <c r="D139" s="22">
        <v>964</v>
      </c>
    </row>
    <row r="140" spans="1:4" x14ac:dyDescent="0.3">
      <c r="A140" t="s">
        <v>280</v>
      </c>
      <c r="B140" t="s">
        <v>150</v>
      </c>
      <c r="C140" s="22">
        <v>34268528</v>
      </c>
      <c r="D140" s="22">
        <v>2149690</v>
      </c>
    </row>
    <row r="141" spans="1:4" x14ac:dyDescent="0.3">
      <c r="A141" t="s">
        <v>281</v>
      </c>
      <c r="B141" t="s">
        <v>153</v>
      </c>
      <c r="C141" s="22">
        <v>16296364</v>
      </c>
      <c r="D141" s="22">
        <v>196722</v>
      </c>
    </row>
    <row r="142" spans="1:4" x14ac:dyDescent="0.3">
      <c r="A142" t="s">
        <v>282</v>
      </c>
      <c r="B142" t="s">
        <v>148</v>
      </c>
      <c r="C142" s="22">
        <v>6944975</v>
      </c>
      <c r="D142" s="22">
        <v>77474</v>
      </c>
    </row>
    <row r="143" spans="1:4" x14ac:dyDescent="0.3">
      <c r="A143" t="s">
        <v>283</v>
      </c>
      <c r="B143" t="s">
        <v>153</v>
      </c>
      <c r="C143" s="22">
        <v>97625</v>
      </c>
      <c r="D143" s="22">
        <v>455</v>
      </c>
    </row>
    <row r="144" spans="1:4" x14ac:dyDescent="0.3">
      <c r="A144" t="s">
        <v>284</v>
      </c>
      <c r="B144" t="s">
        <v>153</v>
      </c>
      <c r="C144" s="22">
        <v>7813215</v>
      </c>
      <c r="D144" s="22">
        <v>71740</v>
      </c>
    </row>
    <row r="145" spans="1:4" x14ac:dyDescent="0.3">
      <c r="A145" t="s">
        <v>285</v>
      </c>
      <c r="B145" t="s">
        <v>159</v>
      </c>
      <c r="C145" s="22">
        <v>5703569</v>
      </c>
      <c r="D145" s="22">
        <v>716.1</v>
      </c>
    </row>
    <row r="146" spans="1:4" x14ac:dyDescent="0.3">
      <c r="A146" t="s">
        <v>286</v>
      </c>
      <c r="B146" t="s">
        <v>148</v>
      </c>
      <c r="C146" s="22">
        <v>5454073</v>
      </c>
      <c r="D146" s="22">
        <v>49035</v>
      </c>
    </row>
    <row r="147" spans="1:4" x14ac:dyDescent="0.3">
      <c r="A147" t="s">
        <v>287</v>
      </c>
      <c r="B147" t="s">
        <v>148</v>
      </c>
      <c r="C147" s="22">
        <v>2087946</v>
      </c>
      <c r="D147" s="22">
        <v>20273</v>
      </c>
    </row>
    <row r="148" spans="1:4" x14ac:dyDescent="0.3">
      <c r="A148" t="s">
        <v>288</v>
      </c>
      <c r="B148" t="s">
        <v>159</v>
      </c>
      <c r="C148" s="22">
        <v>669823</v>
      </c>
      <c r="D148" s="22">
        <v>28896</v>
      </c>
    </row>
    <row r="149" spans="1:4" x14ac:dyDescent="0.3">
      <c r="A149" t="s">
        <v>289</v>
      </c>
      <c r="B149" t="s">
        <v>153</v>
      </c>
      <c r="C149" s="22">
        <v>15442905</v>
      </c>
      <c r="D149" s="22">
        <v>637657</v>
      </c>
    </row>
    <row r="150" spans="1:4" x14ac:dyDescent="0.3">
      <c r="A150" t="s">
        <v>290</v>
      </c>
      <c r="B150" t="s">
        <v>153</v>
      </c>
      <c r="C150" s="22">
        <v>58558270</v>
      </c>
      <c r="D150" s="22">
        <v>1219090</v>
      </c>
    </row>
    <row r="151" spans="1:4" x14ac:dyDescent="0.3">
      <c r="A151" t="s">
        <v>8</v>
      </c>
      <c r="B151" t="s">
        <v>148</v>
      </c>
      <c r="C151" s="22">
        <v>47076781</v>
      </c>
      <c r="D151" s="22">
        <v>505370</v>
      </c>
    </row>
    <row r="152" spans="1:4" x14ac:dyDescent="0.3">
      <c r="A152" t="s">
        <v>291</v>
      </c>
      <c r="B152" t="s">
        <v>146</v>
      </c>
      <c r="C152" s="22">
        <v>21803000</v>
      </c>
      <c r="D152" s="22">
        <v>65610</v>
      </c>
    </row>
    <row r="153" spans="1:4" x14ac:dyDescent="0.3">
      <c r="A153" t="s">
        <v>292</v>
      </c>
      <c r="B153" t="s">
        <v>155</v>
      </c>
      <c r="C153" s="22">
        <v>52823</v>
      </c>
      <c r="D153" s="22">
        <v>261</v>
      </c>
    </row>
    <row r="154" spans="1:4" x14ac:dyDescent="0.3">
      <c r="A154" t="s">
        <v>293</v>
      </c>
      <c r="B154" t="s">
        <v>155</v>
      </c>
      <c r="C154" s="22">
        <v>182790</v>
      </c>
      <c r="D154" s="22">
        <v>616</v>
      </c>
    </row>
    <row r="155" spans="1:4" x14ac:dyDescent="0.3">
      <c r="A155" t="s">
        <v>294</v>
      </c>
      <c r="B155" t="s">
        <v>155</v>
      </c>
      <c r="C155" s="22">
        <v>110589</v>
      </c>
      <c r="D155" s="22">
        <v>389</v>
      </c>
    </row>
    <row r="156" spans="1:4" x14ac:dyDescent="0.3">
      <c r="A156" t="s">
        <v>295</v>
      </c>
      <c r="B156" t="s">
        <v>155</v>
      </c>
      <c r="C156" s="22">
        <v>581372</v>
      </c>
      <c r="D156" s="22">
        <v>163820</v>
      </c>
    </row>
    <row r="157" spans="1:4" x14ac:dyDescent="0.3">
      <c r="A157" t="s">
        <v>13</v>
      </c>
      <c r="B157" t="s">
        <v>148</v>
      </c>
      <c r="C157" s="22">
        <v>10285453</v>
      </c>
      <c r="D157" s="22">
        <v>450295</v>
      </c>
    </row>
    <row r="158" spans="1:4" x14ac:dyDescent="0.3">
      <c r="A158" t="s">
        <v>7</v>
      </c>
      <c r="B158" t="s">
        <v>148</v>
      </c>
      <c r="C158" s="22">
        <v>8574832</v>
      </c>
      <c r="D158" s="22">
        <v>41277</v>
      </c>
    </row>
    <row r="159" spans="1:4" x14ac:dyDescent="0.3">
      <c r="A159" t="s">
        <v>296</v>
      </c>
      <c r="B159" t="s">
        <v>148</v>
      </c>
      <c r="C159" s="22">
        <v>9321018</v>
      </c>
      <c r="D159" s="22">
        <v>144100</v>
      </c>
    </row>
    <row r="160" spans="1:4" x14ac:dyDescent="0.3">
      <c r="A160" t="s">
        <v>297</v>
      </c>
      <c r="B160" t="s">
        <v>153</v>
      </c>
      <c r="C160" s="22">
        <v>58005463</v>
      </c>
      <c r="D160" s="22">
        <v>947300</v>
      </c>
    </row>
    <row r="161" spans="1:4" x14ac:dyDescent="0.3">
      <c r="A161" t="s">
        <v>298</v>
      </c>
      <c r="B161" t="s">
        <v>159</v>
      </c>
      <c r="C161" s="22">
        <v>69625582</v>
      </c>
      <c r="D161" s="22">
        <v>513120</v>
      </c>
    </row>
    <row r="162" spans="1:4" x14ac:dyDescent="0.3">
      <c r="A162" t="s">
        <v>299</v>
      </c>
      <c r="B162" t="s">
        <v>159</v>
      </c>
      <c r="C162" s="22">
        <v>3500000</v>
      </c>
      <c r="D162" s="22">
        <v>14874</v>
      </c>
    </row>
    <row r="163" spans="1:4" x14ac:dyDescent="0.3">
      <c r="A163" t="s">
        <v>300</v>
      </c>
      <c r="B163" t="s">
        <v>153</v>
      </c>
      <c r="C163" s="22">
        <v>8082366</v>
      </c>
      <c r="D163" s="22">
        <v>56785</v>
      </c>
    </row>
    <row r="164" spans="1:4" x14ac:dyDescent="0.3">
      <c r="A164" t="s">
        <v>301</v>
      </c>
      <c r="B164" t="s">
        <v>159</v>
      </c>
      <c r="C164" s="22">
        <v>104494</v>
      </c>
      <c r="D164" s="22">
        <v>747</v>
      </c>
    </row>
    <row r="165" spans="1:4" x14ac:dyDescent="0.3">
      <c r="A165" t="s">
        <v>302</v>
      </c>
      <c r="B165" t="s">
        <v>155</v>
      </c>
      <c r="C165" s="22">
        <v>1394973</v>
      </c>
      <c r="D165" s="22">
        <v>5128</v>
      </c>
    </row>
    <row r="166" spans="1:4" x14ac:dyDescent="0.3">
      <c r="A166" t="s">
        <v>303</v>
      </c>
      <c r="B166" t="s">
        <v>150</v>
      </c>
      <c r="C166" s="22">
        <v>11694719</v>
      </c>
      <c r="D166" s="22">
        <v>163610</v>
      </c>
    </row>
    <row r="167" spans="1:4" x14ac:dyDescent="0.3">
      <c r="A167" t="s">
        <v>304</v>
      </c>
      <c r="B167" t="s">
        <v>148</v>
      </c>
      <c r="C167" s="22">
        <v>83429615</v>
      </c>
      <c r="D167" s="22">
        <v>783562</v>
      </c>
    </row>
    <row r="168" spans="1:4" x14ac:dyDescent="0.3">
      <c r="A168" t="s">
        <v>305</v>
      </c>
      <c r="B168" t="s">
        <v>148</v>
      </c>
      <c r="C168" s="22">
        <v>5942089</v>
      </c>
      <c r="D168" s="22">
        <v>488100</v>
      </c>
    </row>
    <row r="169" spans="1:4" x14ac:dyDescent="0.3">
      <c r="A169" t="s">
        <v>306</v>
      </c>
      <c r="B169" t="s">
        <v>155</v>
      </c>
      <c r="C169" s="22">
        <v>42953</v>
      </c>
      <c r="D169" s="22">
        <v>948</v>
      </c>
    </row>
    <row r="170" spans="1:4" x14ac:dyDescent="0.3">
      <c r="A170" t="s">
        <v>307</v>
      </c>
      <c r="B170" t="s">
        <v>159</v>
      </c>
      <c r="C170" s="22">
        <v>11646</v>
      </c>
      <c r="D170" s="22">
        <v>26</v>
      </c>
    </row>
    <row r="171" spans="1:4" x14ac:dyDescent="0.3">
      <c r="A171" t="s">
        <v>308</v>
      </c>
      <c r="B171" t="s">
        <v>153</v>
      </c>
      <c r="C171" s="22">
        <v>44269594</v>
      </c>
      <c r="D171" s="22">
        <v>241038</v>
      </c>
    </row>
    <row r="172" spans="1:4" x14ac:dyDescent="0.3">
      <c r="A172" t="s">
        <v>309</v>
      </c>
      <c r="B172" t="s">
        <v>148</v>
      </c>
      <c r="C172" s="22">
        <v>44385155</v>
      </c>
      <c r="D172" s="22">
        <v>603550</v>
      </c>
    </row>
    <row r="173" spans="1:4" x14ac:dyDescent="0.3">
      <c r="A173" t="s">
        <v>310</v>
      </c>
      <c r="B173" t="s">
        <v>150</v>
      </c>
      <c r="C173" s="22">
        <v>9770529</v>
      </c>
      <c r="D173" s="22">
        <v>83600</v>
      </c>
    </row>
    <row r="174" spans="1:4" x14ac:dyDescent="0.3">
      <c r="A174" t="s">
        <v>2</v>
      </c>
      <c r="B174" t="s">
        <v>148</v>
      </c>
      <c r="C174" s="22">
        <v>66834405</v>
      </c>
      <c r="D174" s="22">
        <v>243610</v>
      </c>
    </row>
    <row r="175" spans="1:4" x14ac:dyDescent="0.3">
      <c r="A175" t="s">
        <v>311</v>
      </c>
      <c r="B175" t="s">
        <v>179</v>
      </c>
      <c r="C175" s="22">
        <v>328239523</v>
      </c>
      <c r="D175" s="22">
        <v>9833517</v>
      </c>
    </row>
    <row r="176" spans="1:4" x14ac:dyDescent="0.3">
      <c r="A176" t="s">
        <v>312</v>
      </c>
      <c r="B176" t="s">
        <v>155</v>
      </c>
      <c r="C176" s="22">
        <v>3461734</v>
      </c>
      <c r="D176" s="22">
        <v>176215</v>
      </c>
    </row>
    <row r="177" spans="1:4" x14ac:dyDescent="0.3">
      <c r="A177" t="s">
        <v>313</v>
      </c>
      <c r="B177" t="s">
        <v>148</v>
      </c>
      <c r="C177" s="22">
        <v>33580650</v>
      </c>
      <c r="D177" s="22">
        <v>447400</v>
      </c>
    </row>
    <row r="178" spans="1:4" x14ac:dyDescent="0.3">
      <c r="A178" t="s">
        <v>314</v>
      </c>
      <c r="B178" t="s">
        <v>159</v>
      </c>
      <c r="C178" s="22">
        <v>299882</v>
      </c>
      <c r="D178" s="22">
        <v>12189</v>
      </c>
    </row>
    <row r="179" spans="1:4" x14ac:dyDescent="0.3">
      <c r="A179" t="s">
        <v>315</v>
      </c>
      <c r="B179" t="s">
        <v>159</v>
      </c>
      <c r="C179" s="22">
        <v>96462106</v>
      </c>
      <c r="D179" s="22">
        <v>331210</v>
      </c>
    </row>
    <row r="180" spans="1:4" x14ac:dyDescent="0.3">
      <c r="A180" t="s">
        <v>316</v>
      </c>
      <c r="B180" t="s">
        <v>150</v>
      </c>
      <c r="C180" s="22">
        <v>29161922</v>
      </c>
      <c r="D180" s="22">
        <v>527968</v>
      </c>
    </row>
    <row r="181" spans="1:4" x14ac:dyDescent="0.3">
      <c r="A181" t="s">
        <v>317</v>
      </c>
      <c r="B181" t="s">
        <v>153</v>
      </c>
      <c r="C181" s="22">
        <v>17861030</v>
      </c>
      <c r="D181" s="22">
        <v>752618</v>
      </c>
    </row>
    <row r="182" spans="1:4" x14ac:dyDescent="0.3">
      <c r="A182" t="s">
        <v>318</v>
      </c>
      <c r="B182" t="s">
        <v>153</v>
      </c>
      <c r="C182" s="22">
        <v>14645468</v>
      </c>
      <c r="D182" s="22">
        <v>390757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94E2-723D-4954-81B3-83B1097F9523}">
  <sheetPr>
    <tabColor theme="9" tint="0.59999389629810485"/>
  </sheetPr>
  <dimension ref="A3:D11"/>
  <sheetViews>
    <sheetView workbookViewId="0">
      <selection activeCell="A3" sqref="A3"/>
    </sheetView>
  </sheetViews>
  <sheetFormatPr defaultRowHeight="14.4" x14ac:dyDescent="0.3"/>
  <cols>
    <col min="1" max="1" width="23" bestFit="1" customWidth="1"/>
    <col min="2" max="2" width="16.77734375" bestFit="1" customWidth="1"/>
    <col min="3" max="3" width="11.6640625" bestFit="1" customWidth="1"/>
    <col min="4" max="4" width="23.6640625" bestFit="1" customWidth="1"/>
  </cols>
  <sheetData>
    <row r="3" spans="1:4" x14ac:dyDescent="0.3">
      <c r="A3" s="11" t="s">
        <v>144</v>
      </c>
      <c r="B3" t="s">
        <v>320</v>
      </c>
      <c r="C3" t="s">
        <v>322</v>
      </c>
      <c r="D3" t="s">
        <v>654</v>
      </c>
    </row>
    <row r="4" spans="1:4" x14ac:dyDescent="0.3">
      <c r="A4" t="s">
        <v>159</v>
      </c>
      <c r="B4" s="22">
        <v>2285279040</v>
      </c>
      <c r="C4" s="22">
        <v>24434902.300000001</v>
      </c>
      <c r="D4" s="22">
        <v>93.525196538232109</v>
      </c>
    </row>
    <row r="5" spans="1:4" x14ac:dyDescent="0.3">
      <c r="A5" t="s">
        <v>146</v>
      </c>
      <c r="B5" s="22">
        <v>1835776742</v>
      </c>
      <c r="C5" s="22">
        <v>5135531</v>
      </c>
      <c r="D5" s="22">
        <v>357.46580869631595</v>
      </c>
    </row>
    <row r="6" spans="1:4" x14ac:dyDescent="0.3">
      <c r="A6" t="s">
        <v>153</v>
      </c>
      <c r="B6" s="22">
        <v>1049530538</v>
      </c>
      <c r="C6" s="22">
        <v>21646744</v>
      </c>
      <c r="D6" s="22">
        <v>48.484452811933288</v>
      </c>
    </row>
    <row r="7" spans="1:4" x14ac:dyDescent="0.3">
      <c r="A7" t="s">
        <v>148</v>
      </c>
      <c r="B7" s="22">
        <v>918863253</v>
      </c>
      <c r="C7" s="22">
        <v>28062555</v>
      </c>
      <c r="D7" s="22">
        <v>32.743392502927833</v>
      </c>
    </row>
    <row r="8" spans="1:4" x14ac:dyDescent="0.3">
      <c r="A8" t="s">
        <v>155</v>
      </c>
      <c r="B8" s="22">
        <v>606875478</v>
      </c>
      <c r="C8" s="22">
        <v>19416627.399999999</v>
      </c>
      <c r="D8" s="22">
        <v>31.255452633344554</v>
      </c>
    </row>
    <row r="9" spans="1:4" x14ac:dyDescent="0.3">
      <c r="A9" t="s">
        <v>179</v>
      </c>
      <c r="B9" s="22">
        <v>365828785</v>
      </c>
      <c r="C9" s="22">
        <v>19818187</v>
      </c>
      <c r="D9" s="22">
        <v>18.459245792766009</v>
      </c>
    </row>
    <row r="10" spans="1:4" x14ac:dyDescent="0.3">
      <c r="A10" t="s">
        <v>150</v>
      </c>
      <c r="B10" s="22">
        <v>352038057</v>
      </c>
      <c r="C10" s="22">
        <v>9436163.3000000007</v>
      </c>
      <c r="D10" s="22">
        <v>37.307329876328019</v>
      </c>
    </row>
    <row r="11" spans="1:4" x14ac:dyDescent="0.3">
      <c r="A11" t="s">
        <v>28</v>
      </c>
      <c r="B11" s="22">
        <v>7414191893</v>
      </c>
      <c r="C11" s="22">
        <v>127950709.99999999</v>
      </c>
      <c r="D11" s="22">
        <v>57.945687780864993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F28BE-B4AC-4DE5-9D0B-3ED73CCA27E0}">
  <sheetPr>
    <tabColor theme="6" tint="-0.249977111117893"/>
  </sheetPr>
  <dimension ref="A1"/>
  <sheetViews>
    <sheetView showGridLines="0" workbookViewId="0">
      <selection activeCell="T9" sqref="T9"/>
    </sheetView>
  </sheetViews>
  <sheetFormatPr defaultRowHeight="14.4" x14ac:dyDescent="0.3"/>
  <cols>
    <col min="1" max="1" width="2.88671875" customWidth="1"/>
  </cols>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02ECD-AB14-41B7-80C9-840AFDD63E48}">
  <sheetPr>
    <tabColor theme="6" tint="0.59999389629810485"/>
  </sheetPr>
  <dimension ref="A1:I101"/>
  <sheetViews>
    <sheetView workbookViewId="0">
      <selection activeCell="F2" sqref="F2"/>
    </sheetView>
  </sheetViews>
  <sheetFormatPr defaultRowHeight="14.4" x14ac:dyDescent="0.3"/>
  <cols>
    <col min="1" max="1" width="9.109375" customWidth="1"/>
    <col min="2" max="2" width="11.44140625" customWidth="1"/>
    <col min="3" max="4" width="17.109375" customWidth="1"/>
    <col min="5" max="5" width="41.44140625" bestFit="1" customWidth="1"/>
    <col min="6" max="6" width="9.109375" customWidth="1"/>
    <col min="7" max="7" width="14.33203125" customWidth="1"/>
    <col min="8" max="8" width="17.109375" customWidth="1"/>
    <col min="9" max="9" width="9.109375" customWidth="1"/>
  </cols>
  <sheetData>
    <row r="1" spans="1:9" x14ac:dyDescent="0.3">
      <c r="A1" s="24" t="s">
        <v>0</v>
      </c>
      <c r="B1" s="24" t="s">
        <v>323</v>
      </c>
      <c r="C1" s="24" t="s">
        <v>324</v>
      </c>
      <c r="D1" s="24" t="s">
        <v>325</v>
      </c>
      <c r="E1" s="24" t="s">
        <v>326</v>
      </c>
      <c r="F1" s="24" t="s">
        <v>439</v>
      </c>
      <c r="G1" s="24" t="s">
        <v>437</v>
      </c>
      <c r="H1" s="24" t="s">
        <v>438</v>
      </c>
      <c r="I1" s="24" t="s">
        <v>137</v>
      </c>
    </row>
    <row r="2" spans="1:9" x14ac:dyDescent="0.3">
      <c r="A2" t="s">
        <v>3</v>
      </c>
      <c r="B2" t="s">
        <v>358</v>
      </c>
      <c r="C2" t="s">
        <v>359</v>
      </c>
      <c r="D2" t="s">
        <v>329</v>
      </c>
      <c r="E2" t="s">
        <v>367</v>
      </c>
      <c r="F2" s="1">
        <v>2009</v>
      </c>
      <c r="G2" s="1">
        <v>26</v>
      </c>
      <c r="H2" s="1">
        <v>15</v>
      </c>
      <c r="I2" s="25">
        <v>10</v>
      </c>
    </row>
    <row r="3" spans="1:9" x14ac:dyDescent="0.3">
      <c r="A3" t="s">
        <v>3</v>
      </c>
      <c r="B3" t="s">
        <v>358</v>
      </c>
      <c r="C3" t="s">
        <v>359</v>
      </c>
      <c r="D3" t="s">
        <v>329</v>
      </c>
      <c r="E3" t="s">
        <v>401</v>
      </c>
      <c r="F3" s="1">
        <v>2009</v>
      </c>
      <c r="G3" s="1">
        <v>50</v>
      </c>
      <c r="H3" s="1">
        <v>10</v>
      </c>
      <c r="I3" s="25">
        <v>22</v>
      </c>
    </row>
    <row r="4" spans="1:9" x14ac:dyDescent="0.3">
      <c r="A4" t="s">
        <v>3</v>
      </c>
      <c r="B4" t="s">
        <v>358</v>
      </c>
      <c r="C4" t="s">
        <v>359</v>
      </c>
      <c r="D4" t="s">
        <v>329</v>
      </c>
      <c r="E4" t="s">
        <v>368</v>
      </c>
      <c r="F4" s="1">
        <v>2010</v>
      </c>
      <c r="G4" s="1">
        <v>34</v>
      </c>
      <c r="H4" s="1">
        <v>15</v>
      </c>
      <c r="I4" s="25">
        <v>12</v>
      </c>
    </row>
    <row r="5" spans="1:9" x14ac:dyDescent="0.3">
      <c r="A5" t="s">
        <v>3</v>
      </c>
      <c r="B5" t="s">
        <v>358</v>
      </c>
      <c r="C5" t="s">
        <v>359</v>
      </c>
      <c r="D5" t="s">
        <v>329</v>
      </c>
      <c r="E5" t="s">
        <v>360</v>
      </c>
      <c r="F5" s="1">
        <v>2010</v>
      </c>
      <c r="G5" s="1">
        <v>15</v>
      </c>
      <c r="H5" s="1">
        <v>10</v>
      </c>
      <c r="I5" s="25">
        <v>20</v>
      </c>
    </row>
    <row r="6" spans="1:9" x14ac:dyDescent="0.3">
      <c r="A6" t="s">
        <v>3</v>
      </c>
      <c r="B6" t="s">
        <v>358</v>
      </c>
      <c r="C6" t="s">
        <v>359</v>
      </c>
      <c r="D6" t="s">
        <v>329</v>
      </c>
      <c r="E6" t="s">
        <v>411</v>
      </c>
      <c r="F6" s="1">
        <v>2010</v>
      </c>
      <c r="G6" s="1">
        <v>28</v>
      </c>
      <c r="H6" s="1">
        <v>15</v>
      </c>
      <c r="I6" s="25">
        <v>13</v>
      </c>
    </row>
    <row r="7" spans="1:9" x14ac:dyDescent="0.3">
      <c r="A7" t="s">
        <v>3</v>
      </c>
      <c r="B7" t="s">
        <v>358</v>
      </c>
      <c r="C7" t="s">
        <v>359</v>
      </c>
      <c r="D7" t="s">
        <v>329</v>
      </c>
      <c r="E7" t="s">
        <v>369</v>
      </c>
      <c r="F7" s="1">
        <v>2012</v>
      </c>
      <c r="G7" s="1">
        <v>36</v>
      </c>
      <c r="H7" s="1">
        <v>15</v>
      </c>
      <c r="I7" s="25">
        <v>12</v>
      </c>
    </row>
    <row r="8" spans="1:9" x14ac:dyDescent="0.3">
      <c r="A8" t="s">
        <v>3</v>
      </c>
      <c r="B8" t="s">
        <v>358</v>
      </c>
      <c r="C8" t="s">
        <v>359</v>
      </c>
      <c r="D8" t="s">
        <v>329</v>
      </c>
      <c r="E8" t="s">
        <v>370</v>
      </c>
      <c r="F8" s="1">
        <v>2014</v>
      </c>
      <c r="G8" s="1">
        <v>42</v>
      </c>
      <c r="H8" s="1">
        <v>15</v>
      </c>
      <c r="I8" s="25">
        <v>12</v>
      </c>
    </row>
    <row r="9" spans="1:9" x14ac:dyDescent="0.3">
      <c r="A9" t="s">
        <v>3</v>
      </c>
      <c r="B9" t="s">
        <v>358</v>
      </c>
      <c r="C9" t="s">
        <v>359</v>
      </c>
      <c r="D9" t="s">
        <v>329</v>
      </c>
      <c r="E9" t="s">
        <v>398</v>
      </c>
      <c r="F9" s="1">
        <v>2014</v>
      </c>
      <c r="G9" s="1">
        <v>16</v>
      </c>
      <c r="H9" s="1">
        <v>10</v>
      </c>
      <c r="I9" s="25">
        <v>20</v>
      </c>
    </row>
    <row r="10" spans="1:9" x14ac:dyDescent="0.3">
      <c r="A10" t="s">
        <v>3</v>
      </c>
      <c r="B10" t="s">
        <v>358</v>
      </c>
      <c r="C10" t="s">
        <v>359</v>
      </c>
      <c r="D10" t="s">
        <v>329</v>
      </c>
      <c r="E10" t="s">
        <v>400</v>
      </c>
      <c r="F10" s="1">
        <v>2014</v>
      </c>
      <c r="G10" s="1">
        <v>25</v>
      </c>
      <c r="H10" s="1">
        <v>15</v>
      </c>
      <c r="I10" s="25">
        <v>17</v>
      </c>
    </row>
    <row r="11" spans="1:9" x14ac:dyDescent="0.3">
      <c r="A11" t="s">
        <v>3</v>
      </c>
      <c r="B11" t="s">
        <v>358</v>
      </c>
      <c r="C11" t="s">
        <v>359</v>
      </c>
      <c r="D11" t="s">
        <v>329</v>
      </c>
      <c r="E11" t="s">
        <v>380</v>
      </c>
      <c r="F11" s="1">
        <v>2015</v>
      </c>
      <c r="G11" s="1">
        <v>31</v>
      </c>
      <c r="H11" s="1">
        <v>15</v>
      </c>
      <c r="I11" s="25">
        <v>13</v>
      </c>
    </row>
    <row r="12" spans="1:9" x14ac:dyDescent="0.3">
      <c r="A12" t="s">
        <v>3</v>
      </c>
      <c r="B12" t="s">
        <v>358</v>
      </c>
      <c r="C12" t="s">
        <v>359</v>
      </c>
      <c r="D12" t="s">
        <v>329</v>
      </c>
      <c r="E12" t="s">
        <v>361</v>
      </c>
      <c r="F12" s="1">
        <v>2015</v>
      </c>
      <c r="G12" s="1">
        <v>22</v>
      </c>
      <c r="H12" s="1">
        <v>10</v>
      </c>
      <c r="I12" s="25">
        <v>25</v>
      </c>
    </row>
    <row r="13" spans="1:9" x14ac:dyDescent="0.3">
      <c r="A13" t="s">
        <v>3</v>
      </c>
      <c r="B13" t="s">
        <v>340</v>
      </c>
      <c r="C13" t="s">
        <v>341</v>
      </c>
      <c r="D13" t="s">
        <v>342</v>
      </c>
      <c r="E13" t="s">
        <v>394</v>
      </c>
      <c r="F13" s="1">
        <v>2008</v>
      </c>
      <c r="G13" s="1">
        <v>36</v>
      </c>
      <c r="H13" s="1">
        <v>0</v>
      </c>
      <c r="I13" s="25">
        <v>255</v>
      </c>
    </row>
    <row r="14" spans="1:9" x14ac:dyDescent="0.3">
      <c r="A14" t="s">
        <v>3</v>
      </c>
      <c r="B14" t="s">
        <v>340</v>
      </c>
      <c r="C14" t="s">
        <v>341</v>
      </c>
      <c r="D14" t="s">
        <v>342</v>
      </c>
      <c r="E14" t="s">
        <v>412</v>
      </c>
      <c r="F14" s="1">
        <v>2008</v>
      </c>
      <c r="G14" s="1">
        <v>1</v>
      </c>
      <c r="H14" s="1">
        <v>3</v>
      </c>
      <c r="I14" s="25">
        <v>69</v>
      </c>
    </row>
    <row r="15" spans="1:9" x14ac:dyDescent="0.3">
      <c r="A15" t="s">
        <v>3</v>
      </c>
      <c r="B15" t="s">
        <v>340</v>
      </c>
      <c r="C15" t="s">
        <v>341</v>
      </c>
      <c r="D15" t="s">
        <v>342</v>
      </c>
      <c r="E15" t="s">
        <v>345</v>
      </c>
      <c r="F15" s="1">
        <v>2008</v>
      </c>
      <c r="G15" s="1">
        <v>29</v>
      </c>
      <c r="H15" s="1">
        <v>15</v>
      </c>
      <c r="I15" s="25">
        <v>16</v>
      </c>
    </row>
    <row r="16" spans="1:9" x14ac:dyDescent="0.3">
      <c r="A16" t="s">
        <v>3</v>
      </c>
      <c r="B16" t="s">
        <v>340</v>
      </c>
      <c r="C16" t="s">
        <v>341</v>
      </c>
      <c r="D16" t="s">
        <v>342</v>
      </c>
      <c r="E16" t="s">
        <v>397</v>
      </c>
      <c r="F16" s="1">
        <v>2009</v>
      </c>
      <c r="G16" s="1">
        <v>50</v>
      </c>
      <c r="H16" s="1">
        <v>0</v>
      </c>
      <c r="I16" s="25">
        <v>299</v>
      </c>
    </row>
    <row r="17" spans="1:9" x14ac:dyDescent="0.3">
      <c r="A17" t="s">
        <v>3</v>
      </c>
      <c r="B17" t="s">
        <v>340</v>
      </c>
      <c r="C17" t="s">
        <v>341</v>
      </c>
      <c r="D17" t="s">
        <v>342</v>
      </c>
      <c r="E17" t="s">
        <v>343</v>
      </c>
      <c r="F17" s="1">
        <v>2009</v>
      </c>
      <c r="G17" s="1">
        <v>45</v>
      </c>
      <c r="H17" s="1">
        <v>3</v>
      </c>
      <c r="I17" s="25">
        <v>75</v>
      </c>
    </row>
    <row r="18" spans="1:9" x14ac:dyDescent="0.3">
      <c r="A18" t="s">
        <v>3</v>
      </c>
      <c r="B18" t="s">
        <v>340</v>
      </c>
      <c r="C18" t="s">
        <v>341</v>
      </c>
      <c r="D18" t="s">
        <v>342</v>
      </c>
      <c r="E18" t="s">
        <v>350</v>
      </c>
      <c r="F18" s="1">
        <v>2009</v>
      </c>
      <c r="G18" s="1">
        <v>35</v>
      </c>
      <c r="H18" s="1">
        <v>3</v>
      </c>
      <c r="I18" s="25">
        <v>70</v>
      </c>
    </row>
    <row r="19" spans="1:9" x14ac:dyDescent="0.3">
      <c r="A19" t="s">
        <v>3</v>
      </c>
      <c r="B19" t="s">
        <v>340</v>
      </c>
      <c r="C19" t="s">
        <v>341</v>
      </c>
      <c r="D19" t="s">
        <v>342</v>
      </c>
      <c r="E19" t="s">
        <v>391</v>
      </c>
      <c r="F19" s="1">
        <v>2009</v>
      </c>
      <c r="G19" s="1">
        <v>14</v>
      </c>
      <c r="H19" s="1">
        <v>0</v>
      </c>
      <c r="I19" s="25">
        <v>320</v>
      </c>
    </row>
    <row r="20" spans="1:9" x14ac:dyDescent="0.3">
      <c r="A20" t="s">
        <v>3</v>
      </c>
      <c r="B20" t="s">
        <v>340</v>
      </c>
      <c r="C20" t="s">
        <v>341</v>
      </c>
      <c r="D20" t="s">
        <v>342</v>
      </c>
      <c r="E20" t="s">
        <v>419</v>
      </c>
      <c r="F20" s="1">
        <v>2010</v>
      </c>
      <c r="G20" s="1">
        <v>30</v>
      </c>
      <c r="H20" s="1">
        <v>3</v>
      </c>
      <c r="I20" s="25">
        <v>70</v>
      </c>
    </row>
    <row r="21" spans="1:9" x14ac:dyDescent="0.3">
      <c r="A21" t="s">
        <v>3</v>
      </c>
      <c r="B21" t="s">
        <v>340</v>
      </c>
      <c r="C21" t="s">
        <v>341</v>
      </c>
      <c r="D21" t="s">
        <v>342</v>
      </c>
      <c r="E21" t="s">
        <v>425</v>
      </c>
      <c r="F21" s="1">
        <v>2011</v>
      </c>
      <c r="G21" s="1">
        <v>43</v>
      </c>
      <c r="H21" s="1">
        <v>10</v>
      </c>
      <c r="I21" s="25">
        <v>45</v>
      </c>
    </row>
    <row r="22" spans="1:9" x14ac:dyDescent="0.3">
      <c r="A22" t="s">
        <v>3</v>
      </c>
      <c r="B22" t="s">
        <v>340</v>
      </c>
      <c r="C22" t="s">
        <v>341</v>
      </c>
      <c r="D22" t="s">
        <v>342</v>
      </c>
      <c r="E22" t="s">
        <v>392</v>
      </c>
      <c r="F22" s="1">
        <v>2011</v>
      </c>
      <c r="G22" s="1">
        <v>33</v>
      </c>
      <c r="H22" s="1">
        <v>0</v>
      </c>
      <c r="I22" s="25">
        <v>380</v>
      </c>
    </row>
    <row r="23" spans="1:9" x14ac:dyDescent="0.3">
      <c r="A23" t="s">
        <v>3</v>
      </c>
      <c r="B23" t="s">
        <v>340</v>
      </c>
      <c r="C23" t="s">
        <v>341</v>
      </c>
      <c r="D23" t="s">
        <v>342</v>
      </c>
      <c r="E23" t="s">
        <v>418</v>
      </c>
      <c r="F23" s="1">
        <v>2011</v>
      </c>
      <c r="G23" s="1">
        <v>45</v>
      </c>
      <c r="H23" s="1">
        <v>3</v>
      </c>
      <c r="I23" s="25">
        <v>75</v>
      </c>
    </row>
    <row r="24" spans="1:9" x14ac:dyDescent="0.3">
      <c r="A24" t="s">
        <v>3</v>
      </c>
      <c r="B24" t="s">
        <v>340</v>
      </c>
      <c r="C24" t="s">
        <v>341</v>
      </c>
      <c r="D24" t="s">
        <v>342</v>
      </c>
      <c r="E24" t="s">
        <v>348</v>
      </c>
      <c r="F24" s="1">
        <v>2012</v>
      </c>
      <c r="G24" s="1">
        <v>15</v>
      </c>
      <c r="H24" s="1">
        <v>10</v>
      </c>
      <c r="I24" s="25">
        <v>24</v>
      </c>
    </row>
    <row r="25" spans="1:9" x14ac:dyDescent="0.3">
      <c r="A25" t="s">
        <v>3</v>
      </c>
      <c r="B25" t="s">
        <v>340</v>
      </c>
      <c r="C25" t="s">
        <v>341</v>
      </c>
      <c r="D25" t="s">
        <v>342</v>
      </c>
      <c r="E25" t="s">
        <v>399</v>
      </c>
      <c r="F25" s="1">
        <v>2012</v>
      </c>
      <c r="G25" s="1">
        <v>47</v>
      </c>
      <c r="H25" s="1">
        <v>10</v>
      </c>
      <c r="I25" s="25">
        <v>23</v>
      </c>
    </row>
    <row r="26" spans="1:9" x14ac:dyDescent="0.3">
      <c r="A26" t="s">
        <v>3</v>
      </c>
      <c r="B26" t="s">
        <v>340</v>
      </c>
      <c r="C26" t="s">
        <v>341</v>
      </c>
      <c r="D26" t="s">
        <v>342</v>
      </c>
      <c r="E26" t="s">
        <v>396</v>
      </c>
      <c r="F26" s="1">
        <v>2014</v>
      </c>
      <c r="G26" s="1">
        <v>36</v>
      </c>
      <c r="H26" s="1">
        <v>0</v>
      </c>
      <c r="I26" s="25">
        <v>430</v>
      </c>
    </row>
    <row r="27" spans="1:9" x14ac:dyDescent="0.3">
      <c r="A27" t="s">
        <v>3</v>
      </c>
      <c r="B27" t="s">
        <v>340</v>
      </c>
      <c r="C27" t="s">
        <v>341</v>
      </c>
      <c r="D27" t="s">
        <v>342</v>
      </c>
      <c r="E27" t="s">
        <v>349</v>
      </c>
      <c r="F27" s="1">
        <v>2014</v>
      </c>
      <c r="G27" s="1">
        <v>35</v>
      </c>
      <c r="H27" s="1">
        <v>10</v>
      </c>
      <c r="I27" s="25">
        <v>25</v>
      </c>
    </row>
    <row r="28" spans="1:9" x14ac:dyDescent="0.3">
      <c r="A28" t="s">
        <v>3</v>
      </c>
      <c r="B28" t="s">
        <v>340</v>
      </c>
      <c r="C28" t="s">
        <v>341</v>
      </c>
      <c r="D28" t="s">
        <v>342</v>
      </c>
      <c r="E28" t="s">
        <v>378</v>
      </c>
      <c r="F28" s="1">
        <v>2014</v>
      </c>
      <c r="G28" s="1">
        <v>14</v>
      </c>
      <c r="H28" s="1">
        <v>0</v>
      </c>
      <c r="I28" s="25">
        <v>630</v>
      </c>
    </row>
    <row r="29" spans="1:9" x14ac:dyDescent="0.3">
      <c r="A29" t="s">
        <v>3</v>
      </c>
      <c r="B29" t="s">
        <v>340</v>
      </c>
      <c r="C29" t="s">
        <v>341</v>
      </c>
      <c r="D29" t="s">
        <v>342</v>
      </c>
      <c r="E29" t="s">
        <v>395</v>
      </c>
      <c r="F29" s="1">
        <v>2015</v>
      </c>
      <c r="G29" s="1">
        <v>15</v>
      </c>
      <c r="H29" s="1">
        <v>0</v>
      </c>
      <c r="I29" s="25">
        <v>400</v>
      </c>
    </row>
    <row r="30" spans="1:9" x14ac:dyDescent="0.3">
      <c r="A30" t="s">
        <v>3</v>
      </c>
      <c r="B30" t="s">
        <v>340</v>
      </c>
      <c r="C30" t="s">
        <v>341</v>
      </c>
      <c r="D30" t="s">
        <v>342</v>
      </c>
      <c r="E30" t="s">
        <v>393</v>
      </c>
      <c r="F30" s="1">
        <v>2015</v>
      </c>
      <c r="G30" s="1">
        <v>24</v>
      </c>
      <c r="H30" s="1">
        <v>0</v>
      </c>
      <c r="I30" s="25">
        <v>450</v>
      </c>
    </row>
    <row r="31" spans="1:9" x14ac:dyDescent="0.3">
      <c r="A31" t="s">
        <v>3</v>
      </c>
      <c r="B31" t="s">
        <v>340</v>
      </c>
      <c r="C31" t="s">
        <v>341</v>
      </c>
      <c r="D31" t="s">
        <v>342</v>
      </c>
      <c r="E31" t="s">
        <v>420</v>
      </c>
      <c r="F31" s="1">
        <v>2015</v>
      </c>
      <c r="G31" s="1">
        <v>24</v>
      </c>
      <c r="H31" s="1">
        <v>3</v>
      </c>
      <c r="I31" s="25">
        <v>90</v>
      </c>
    </row>
    <row r="32" spans="1:9" x14ac:dyDescent="0.3">
      <c r="A32" t="s">
        <v>3</v>
      </c>
      <c r="B32" t="s">
        <v>340</v>
      </c>
      <c r="C32" t="s">
        <v>341</v>
      </c>
      <c r="D32" t="s">
        <v>342</v>
      </c>
      <c r="E32" t="s">
        <v>420</v>
      </c>
      <c r="F32" s="1">
        <v>2015</v>
      </c>
      <c r="G32" s="1">
        <v>3</v>
      </c>
      <c r="H32" s="1">
        <v>3</v>
      </c>
      <c r="I32" s="25">
        <v>90</v>
      </c>
    </row>
    <row r="33" spans="1:9" x14ac:dyDescent="0.3">
      <c r="A33" t="s">
        <v>3</v>
      </c>
      <c r="B33" t="s">
        <v>340</v>
      </c>
      <c r="C33" t="s">
        <v>341</v>
      </c>
      <c r="D33" t="s">
        <v>346</v>
      </c>
      <c r="E33" t="s">
        <v>382</v>
      </c>
      <c r="F33" s="1">
        <v>2005</v>
      </c>
      <c r="G33" s="1">
        <v>32</v>
      </c>
      <c r="H33" s="1">
        <v>1</v>
      </c>
      <c r="I33" s="25">
        <v>240</v>
      </c>
    </row>
    <row r="34" spans="1:9" x14ac:dyDescent="0.3">
      <c r="A34" t="s">
        <v>3</v>
      </c>
      <c r="B34" t="s">
        <v>340</v>
      </c>
      <c r="C34" t="s">
        <v>341</v>
      </c>
      <c r="D34" t="s">
        <v>346</v>
      </c>
      <c r="E34" t="s">
        <v>386</v>
      </c>
      <c r="F34" s="1">
        <v>2005</v>
      </c>
      <c r="G34" s="1">
        <v>15</v>
      </c>
      <c r="H34" s="1">
        <v>3</v>
      </c>
      <c r="I34" s="25">
        <v>50</v>
      </c>
    </row>
    <row r="35" spans="1:9" x14ac:dyDescent="0.3">
      <c r="A35" t="s">
        <v>3</v>
      </c>
      <c r="B35" t="s">
        <v>340</v>
      </c>
      <c r="C35" t="s">
        <v>341</v>
      </c>
      <c r="D35" t="s">
        <v>346</v>
      </c>
      <c r="E35" t="s">
        <v>402</v>
      </c>
      <c r="F35" s="1">
        <v>2005</v>
      </c>
      <c r="G35" s="1">
        <v>50</v>
      </c>
      <c r="H35" s="1">
        <v>3</v>
      </c>
      <c r="I35" s="25">
        <v>60</v>
      </c>
    </row>
    <row r="36" spans="1:9" x14ac:dyDescent="0.3">
      <c r="A36" t="s">
        <v>3</v>
      </c>
      <c r="B36" t="s">
        <v>340</v>
      </c>
      <c r="C36" t="s">
        <v>341</v>
      </c>
      <c r="D36" t="s">
        <v>346</v>
      </c>
      <c r="E36" t="s">
        <v>381</v>
      </c>
      <c r="F36" s="1">
        <v>2008</v>
      </c>
      <c r="G36" s="1">
        <v>43</v>
      </c>
      <c r="H36" s="1">
        <v>1</v>
      </c>
      <c r="I36" s="25">
        <v>229</v>
      </c>
    </row>
    <row r="37" spans="1:9" x14ac:dyDescent="0.3">
      <c r="A37" t="s">
        <v>3</v>
      </c>
      <c r="B37" t="s">
        <v>340</v>
      </c>
      <c r="C37" t="s">
        <v>341</v>
      </c>
      <c r="D37" t="s">
        <v>346</v>
      </c>
      <c r="E37" t="s">
        <v>410</v>
      </c>
      <c r="F37" s="1">
        <v>2009</v>
      </c>
      <c r="G37" s="1">
        <v>40</v>
      </c>
      <c r="H37" s="1">
        <v>0</v>
      </c>
      <c r="I37" s="25">
        <v>359</v>
      </c>
    </row>
    <row r="38" spans="1:9" x14ac:dyDescent="0.3">
      <c r="A38" t="s">
        <v>3</v>
      </c>
      <c r="B38" t="s">
        <v>340</v>
      </c>
      <c r="C38" t="s">
        <v>341</v>
      </c>
      <c r="D38" t="s">
        <v>346</v>
      </c>
      <c r="E38" t="s">
        <v>347</v>
      </c>
      <c r="F38" s="1">
        <v>2009</v>
      </c>
      <c r="G38" s="1">
        <v>31</v>
      </c>
      <c r="H38" s="1">
        <v>3</v>
      </c>
      <c r="I38" s="25">
        <v>65</v>
      </c>
    </row>
    <row r="39" spans="1:9" x14ac:dyDescent="0.3">
      <c r="A39" t="s">
        <v>3</v>
      </c>
      <c r="B39" t="s">
        <v>340</v>
      </c>
      <c r="C39" t="s">
        <v>341</v>
      </c>
      <c r="D39" t="s">
        <v>346</v>
      </c>
      <c r="E39" t="s">
        <v>379</v>
      </c>
      <c r="F39" s="1">
        <v>2009</v>
      </c>
      <c r="G39" s="1">
        <v>30</v>
      </c>
      <c r="H39" s="1">
        <v>1</v>
      </c>
      <c r="I39" s="25">
        <v>135</v>
      </c>
    </row>
    <row r="40" spans="1:9" x14ac:dyDescent="0.3">
      <c r="A40" t="s">
        <v>3</v>
      </c>
      <c r="B40" t="s">
        <v>340</v>
      </c>
      <c r="C40" t="s">
        <v>341</v>
      </c>
      <c r="D40" t="s">
        <v>346</v>
      </c>
      <c r="E40" t="s">
        <v>351</v>
      </c>
      <c r="F40" s="1">
        <v>2009</v>
      </c>
      <c r="G40" s="1">
        <v>42</v>
      </c>
      <c r="H40" s="1">
        <v>1</v>
      </c>
      <c r="I40" s="25">
        <v>115</v>
      </c>
    </row>
    <row r="41" spans="1:9" x14ac:dyDescent="0.3">
      <c r="A41" t="s">
        <v>3</v>
      </c>
      <c r="B41" t="s">
        <v>340</v>
      </c>
      <c r="C41" t="s">
        <v>341</v>
      </c>
      <c r="D41" t="s">
        <v>346</v>
      </c>
      <c r="E41" t="s">
        <v>415</v>
      </c>
      <c r="F41" s="1">
        <v>2009</v>
      </c>
      <c r="G41" s="1">
        <v>28</v>
      </c>
      <c r="H41" s="1">
        <v>0</v>
      </c>
      <c r="I41" s="25">
        <v>425</v>
      </c>
    </row>
    <row r="42" spans="1:9" x14ac:dyDescent="0.3">
      <c r="A42" t="s">
        <v>3</v>
      </c>
      <c r="B42" t="s">
        <v>340</v>
      </c>
      <c r="C42" t="s">
        <v>341</v>
      </c>
      <c r="D42" t="s">
        <v>346</v>
      </c>
      <c r="E42" t="s">
        <v>383</v>
      </c>
      <c r="F42" s="1">
        <v>2010</v>
      </c>
      <c r="G42" s="1">
        <v>12</v>
      </c>
      <c r="H42" s="1">
        <v>0</v>
      </c>
      <c r="I42" s="25">
        <v>260</v>
      </c>
    </row>
    <row r="43" spans="1:9" x14ac:dyDescent="0.3">
      <c r="A43" t="s">
        <v>3</v>
      </c>
      <c r="B43" t="s">
        <v>340</v>
      </c>
      <c r="C43" t="s">
        <v>341</v>
      </c>
      <c r="D43" t="s">
        <v>346</v>
      </c>
      <c r="E43" t="s">
        <v>384</v>
      </c>
      <c r="F43" s="1">
        <v>2011</v>
      </c>
      <c r="G43" s="1">
        <v>25</v>
      </c>
      <c r="H43" s="1">
        <v>0</v>
      </c>
      <c r="I43" s="25">
        <v>280</v>
      </c>
    </row>
    <row r="44" spans="1:9" x14ac:dyDescent="0.3">
      <c r="A44" t="s">
        <v>3</v>
      </c>
      <c r="B44" t="s">
        <v>340</v>
      </c>
      <c r="C44" t="s">
        <v>341</v>
      </c>
      <c r="D44" t="s">
        <v>346</v>
      </c>
      <c r="E44" t="s">
        <v>413</v>
      </c>
      <c r="F44" s="1">
        <v>2011</v>
      </c>
      <c r="G44" s="1">
        <v>45</v>
      </c>
      <c r="H44" s="1">
        <v>3</v>
      </c>
      <c r="I44" s="25">
        <v>95</v>
      </c>
    </row>
    <row r="45" spans="1:9" x14ac:dyDescent="0.3">
      <c r="A45" t="s">
        <v>3</v>
      </c>
      <c r="B45" t="s">
        <v>340</v>
      </c>
      <c r="C45" t="s">
        <v>341</v>
      </c>
      <c r="D45" t="s">
        <v>346</v>
      </c>
      <c r="E45" t="s">
        <v>418</v>
      </c>
      <c r="F45" s="1">
        <v>2011</v>
      </c>
      <c r="G45" s="1">
        <v>44</v>
      </c>
      <c r="H45" s="1">
        <v>3</v>
      </c>
      <c r="I45" s="25">
        <v>60</v>
      </c>
    </row>
    <row r="46" spans="1:9" x14ac:dyDescent="0.3">
      <c r="A46" t="s">
        <v>3</v>
      </c>
      <c r="B46" t="s">
        <v>340</v>
      </c>
      <c r="C46" t="s">
        <v>341</v>
      </c>
      <c r="D46" t="s">
        <v>346</v>
      </c>
      <c r="E46" t="s">
        <v>406</v>
      </c>
      <c r="F46" s="1">
        <v>2012</v>
      </c>
      <c r="G46" s="1">
        <v>33</v>
      </c>
      <c r="H46" s="1">
        <v>3</v>
      </c>
      <c r="I46" s="25">
        <v>80</v>
      </c>
    </row>
    <row r="47" spans="1:9" x14ac:dyDescent="0.3">
      <c r="A47" t="s">
        <v>3</v>
      </c>
      <c r="B47" t="s">
        <v>340</v>
      </c>
      <c r="C47" t="s">
        <v>341</v>
      </c>
      <c r="D47" t="s">
        <v>346</v>
      </c>
      <c r="E47" t="s">
        <v>385</v>
      </c>
      <c r="F47" s="1">
        <v>2014</v>
      </c>
      <c r="G47" s="1">
        <v>34</v>
      </c>
      <c r="H47" s="1">
        <v>0</v>
      </c>
      <c r="I47" s="25">
        <v>330</v>
      </c>
    </row>
    <row r="48" spans="1:9" x14ac:dyDescent="0.3">
      <c r="A48" t="s">
        <v>3</v>
      </c>
      <c r="B48" t="s">
        <v>340</v>
      </c>
      <c r="C48" t="s">
        <v>341</v>
      </c>
      <c r="D48" t="s">
        <v>346</v>
      </c>
      <c r="E48" t="s">
        <v>414</v>
      </c>
      <c r="F48" s="1">
        <v>2014</v>
      </c>
      <c r="G48" s="1">
        <v>15</v>
      </c>
      <c r="H48" s="1">
        <v>1</v>
      </c>
      <c r="I48" s="25">
        <v>120</v>
      </c>
    </row>
    <row r="49" spans="1:9" x14ac:dyDescent="0.3">
      <c r="A49" t="s">
        <v>3</v>
      </c>
      <c r="B49" t="s">
        <v>340</v>
      </c>
      <c r="C49" t="s">
        <v>341</v>
      </c>
      <c r="D49" t="s">
        <v>346</v>
      </c>
      <c r="E49" t="s">
        <v>416</v>
      </c>
      <c r="F49" s="1">
        <v>2014</v>
      </c>
      <c r="G49" s="1">
        <v>7</v>
      </c>
      <c r="H49" s="1">
        <v>0</v>
      </c>
      <c r="I49" s="25">
        <v>580</v>
      </c>
    </row>
    <row r="50" spans="1:9" x14ac:dyDescent="0.3">
      <c r="A50" t="s">
        <v>3</v>
      </c>
      <c r="B50" t="s">
        <v>340</v>
      </c>
      <c r="C50" t="s">
        <v>341</v>
      </c>
      <c r="D50" t="s">
        <v>346</v>
      </c>
      <c r="E50" t="s">
        <v>404</v>
      </c>
      <c r="F50" s="1">
        <v>2014</v>
      </c>
      <c r="G50" s="1">
        <v>43</v>
      </c>
      <c r="H50" s="1">
        <v>3</v>
      </c>
      <c r="I50" s="25">
        <v>80</v>
      </c>
    </row>
    <row r="51" spans="1:9" x14ac:dyDescent="0.3">
      <c r="A51" t="s">
        <v>3</v>
      </c>
      <c r="B51" t="s">
        <v>340</v>
      </c>
      <c r="C51" t="s">
        <v>341</v>
      </c>
      <c r="D51" t="s">
        <v>346</v>
      </c>
      <c r="E51" t="s">
        <v>404</v>
      </c>
      <c r="F51" s="1">
        <v>2014</v>
      </c>
      <c r="G51" s="1">
        <v>7</v>
      </c>
      <c r="H51" s="1">
        <v>3</v>
      </c>
      <c r="I51" s="25">
        <v>80</v>
      </c>
    </row>
    <row r="52" spans="1:9" x14ac:dyDescent="0.3">
      <c r="A52" t="s">
        <v>3</v>
      </c>
      <c r="B52" t="s">
        <v>340</v>
      </c>
      <c r="C52" t="s">
        <v>341</v>
      </c>
      <c r="D52" t="s">
        <v>346</v>
      </c>
      <c r="E52" t="s">
        <v>387</v>
      </c>
      <c r="F52" s="1">
        <v>2015</v>
      </c>
      <c r="G52" s="1">
        <v>0</v>
      </c>
      <c r="H52" s="1">
        <v>3</v>
      </c>
      <c r="I52" s="25">
        <v>75</v>
      </c>
    </row>
    <row r="53" spans="1:9" x14ac:dyDescent="0.3">
      <c r="A53" t="s">
        <v>3</v>
      </c>
      <c r="B53" t="s">
        <v>340</v>
      </c>
      <c r="C53" t="s">
        <v>341</v>
      </c>
      <c r="D53" t="s">
        <v>346</v>
      </c>
      <c r="E53" t="s">
        <v>387</v>
      </c>
      <c r="F53" s="1">
        <v>2015</v>
      </c>
      <c r="G53" s="1">
        <v>36</v>
      </c>
      <c r="H53" s="1">
        <v>3</v>
      </c>
      <c r="I53" s="25">
        <v>75</v>
      </c>
    </row>
    <row r="54" spans="1:9" x14ac:dyDescent="0.3">
      <c r="A54" t="s">
        <v>3</v>
      </c>
      <c r="B54" t="s">
        <v>340</v>
      </c>
      <c r="C54" t="s">
        <v>341</v>
      </c>
      <c r="D54" t="s">
        <v>346</v>
      </c>
      <c r="E54" t="s">
        <v>417</v>
      </c>
      <c r="F54" s="1">
        <v>2015</v>
      </c>
      <c r="G54" s="1">
        <v>0</v>
      </c>
      <c r="H54" s="1">
        <v>0</v>
      </c>
      <c r="I54" s="25">
        <v>650</v>
      </c>
    </row>
    <row r="55" spans="1:9" x14ac:dyDescent="0.3">
      <c r="A55" t="s">
        <v>3</v>
      </c>
      <c r="B55" t="s">
        <v>340</v>
      </c>
      <c r="C55" t="s">
        <v>341</v>
      </c>
      <c r="D55" t="s">
        <v>346</v>
      </c>
      <c r="E55" t="s">
        <v>403</v>
      </c>
      <c r="F55" s="1">
        <v>2015</v>
      </c>
      <c r="G55" s="1">
        <v>7</v>
      </c>
      <c r="H55" s="1">
        <v>3</v>
      </c>
      <c r="I55" s="25">
        <v>79</v>
      </c>
    </row>
    <row r="56" spans="1:9" x14ac:dyDescent="0.3">
      <c r="A56" t="s">
        <v>3</v>
      </c>
      <c r="B56" t="s">
        <v>340</v>
      </c>
      <c r="C56" t="s">
        <v>341</v>
      </c>
      <c r="D56" t="s">
        <v>346</v>
      </c>
      <c r="E56" t="s">
        <v>405</v>
      </c>
      <c r="F56" s="1">
        <v>2015</v>
      </c>
      <c r="G56" s="1">
        <v>5</v>
      </c>
      <c r="H56" s="1">
        <v>3</v>
      </c>
      <c r="I56" s="25">
        <v>79</v>
      </c>
    </row>
    <row r="57" spans="1:9" x14ac:dyDescent="0.3">
      <c r="A57" t="s">
        <v>3</v>
      </c>
      <c r="B57" t="s">
        <v>334</v>
      </c>
      <c r="C57" t="s">
        <v>335</v>
      </c>
      <c r="D57" t="s">
        <v>346</v>
      </c>
      <c r="E57" t="s">
        <v>377</v>
      </c>
      <c r="F57" s="1">
        <v>2012</v>
      </c>
      <c r="G57" s="1">
        <v>28</v>
      </c>
      <c r="H57" s="1">
        <v>10</v>
      </c>
      <c r="I57" s="25">
        <v>45</v>
      </c>
    </row>
    <row r="58" spans="1:9" x14ac:dyDescent="0.3">
      <c r="A58" t="s">
        <v>3</v>
      </c>
      <c r="B58" t="s">
        <v>334</v>
      </c>
      <c r="C58" t="s">
        <v>335</v>
      </c>
      <c r="D58" t="s">
        <v>346</v>
      </c>
      <c r="E58" t="s">
        <v>366</v>
      </c>
      <c r="F58" s="1">
        <v>2013</v>
      </c>
      <c r="G58" s="1">
        <v>41</v>
      </c>
      <c r="H58" s="1">
        <v>10</v>
      </c>
      <c r="I58" s="25">
        <v>27</v>
      </c>
    </row>
    <row r="59" spans="1:9" x14ac:dyDescent="0.3">
      <c r="A59" t="s">
        <v>3</v>
      </c>
      <c r="B59" t="s">
        <v>334</v>
      </c>
      <c r="C59" t="s">
        <v>335</v>
      </c>
      <c r="D59" t="s">
        <v>346</v>
      </c>
      <c r="E59" t="s">
        <v>366</v>
      </c>
      <c r="F59" s="1">
        <v>2013</v>
      </c>
      <c r="G59" s="1">
        <v>21</v>
      </c>
      <c r="H59" s="1">
        <v>10</v>
      </c>
      <c r="I59" s="25">
        <v>27</v>
      </c>
    </row>
    <row r="60" spans="1:9" x14ac:dyDescent="0.3">
      <c r="A60" t="s">
        <v>3</v>
      </c>
      <c r="B60" t="s">
        <v>334</v>
      </c>
      <c r="C60" t="s">
        <v>335</v>
      </c>
      <c r="D60" t="s">
        <v>346</v>
      </c>
      <c r="E60" t="s">
        <v>362</v>
      </c>
      <c r="F60" s="1">
        <v>2014</v>
      </c>
      <c r="G60" s="1">
        <v>45</v>
      </c>
      <c r="H60" s="1">
        <v>10</v>
      </c>
      <c r="I60" s="25">
        <v>27</v>
      </c>
    </row>
    <row r="61" spans="1:9" x14ac:dyDescent="0.3">
      <c r="A61" t="s">
        <v>3</v>
      </c>
      <c r="B61" t="s">
        <v>334</v>
      </c>
      <c r="C61" t="s">
        <v>335</v>
      </c>
      <c r="D61" t="s">
        <v>336</v>
      </c>
      <c r="E61" t="s">
        <v>426</v>
      </c>
      <c r="F61" s="1">
        <v>2008</v>
      </c>
      <c r="G61" s="1">
        <v>17</v>
      </c>
      <c r="H61" s="1">
        <v>10</v>
      </c>
      <c r="I61" s="25">
        <v>36</v>
      </c>
    </row>
    <row r="62" spans="1:9" x14ac:dyDescent="0.3">
      <c r="A62" t="s">
        <v>3</v>
      </c>
      <c r="B62" t="s">
        <v>334</v>
      </c>
      <c r="C62" t="s">
        <v>335</v>
      </c>
      <c r="D62" t="s">
        <v>336</v>
      </c>
      <c r="E62" t="s">
        <v>374</v>
      </c>
      <c r="F62" s="1">
        <v>2009</v>
      </c>
      <c r="G62" s="1">
        <v>10</v>
      </c>
      <c r="H62" s="1">
        <v>10</v>
      </c>
      <c r="I62" s="25">
        <v>35</v>
      </c>
    </row>
    <row r="63" spans="1:9" x14ac:dyDescent="0.3">
      <c r="A63" t="s">
        <v>3</v>
      </c>
      <c r="B63" t="s">
        <v>334</v>
      </c>
      <c r="C63" t="s">
        <v>335</v>
      </c>
      <c r="D63" t="s">
        <v>336</v>
      </c>
      <c r="E63" t="s">
        <v>409</v>
      </c>
      <c r="F63" s="1">
        <v>2009</v>
      </c>
      <c r="G63" s="1">
        <v>8</v>
      </c>
      <c r="H63" s="1">
        <v>3</v>
      </c>
      <c r="I63" s="25">
        <v>59</v>
      </c>
    </row>
    <row r="64" spans="1:9" x14ac:dyDescent="0.3">
      <c r="A64" t="s">
        <v>3</v>
      </c>
      <c r="B64" t="s">
        <v>334</v>
      </c>
      <c r="C64" t="s">
        <v>335</v>
      </c>
      <c r="D64" t="s">
        <v>336</v>
      </c>
      <c r="E64" t="s">
        <v>337</v>
      </c>
      <c r="F64" s="1">
        <v>2010</v>
      </c>
      <c r="G64" s="1">
        <v>35</v>
      </c>
      <c r="H64" s="1">
        <v>3</v>
      </c>
      <c r="I64" s="25">
        <v>50</v>
      </c>
    </row>
    <row r="65" spans="1:9" x14ac:dyDescent="0.3">
      <c r="A65" t="s">
        <v>3</v>
      </c>
      <c r="B65" t="s">
        <v>334</v>
      </c>
      <c r="C65" t="s">
        <v>335</v>
      </c>
      <c r="D65" t="s">
        <v>336</v>
      </c>
      <c r="E65" t="s">
        <v>371</v>
      </c>
      <c r="F65" s="1">
        <v>2011</v>
      </c>
      <c r="G65" s="1">
        <v>1</v>
      </c>
      <c r="H65" s="1">
        <v>3</v>
      </c>
      <c r="I65" s="25">
        <v>53</v>
      </c>
    </row>
    <row r="66" spans="1:9" x14ac:dyDescent="0.3">
      <c r="A66" t="s">
        <v>3</v>
      </c>
      <c r="B66" t="s">
        <v>334</v>
      </c>
      <c r="C66" t="s">
        <v>335</v>
      </c>
      <c r="D66" t="s">
        <v>336</v>
      </c>
      <c r="E66" t="s">
        <v>407</v>
      </c>
      <c r="F66" s="1">
        <v>2011</v>
      </c>
      <c r="G66" s="1">
        <v>44</v>
      </c>
      <c r="H66" s="1">
        <v>3</v>
      </c>
      <c r="I66" s="25">
        <v>50</v>
      </c>
    </row>
    <row r="67" spans="1:9" x14ac:dyDescent="0.3">
      <c r="A67" t="s">
        <v>3</v>
      </c>
      <c r="B67" t="s">
        <v>334</v>
      </c>
      <c r="C67" t="s">
        <v>335</v>
      </c>
      <c r="D67" t="s">
        <v>336</v>
      </c>
      <c r="E67" t="s">
        <v>390</v>
      </c>
      <c r="F67" s="1">
        <v>2011</v>
      </c>
      <c r="G67" s="1">
        <v>22</v>
      </c>
      <c r="H67" s="1">
        <v>3</v>
      </c>
      <c r="I67" s="25">
        <v>50</v>
      </c>
    </row>
    <row r="68" spans="1:9" x14ac:dyDescent="0.3">
      <c r="A68" t="s">
        <v>3</v>
      </c>
      <c r="B68" t="s">
        <v>334</v>
      </c>
      <c r="C68" t="s">
        <v>335</v>
      </c>
      <c r="D68" t="s">
        <v>336</v>
      </c>
      <c r="E68" t="s">
        <v>356</v>
      </c>
      <c r="F68" s="1">
        <v>2012</v>
      </c>
      <c r="G68" s="1">
        <v>35</v>
      </c>
      <c r="H68" s="1">
        <v>10</v>
      </c>
      <c r="I68" s="25">
        <v>25</v>
      </c>
    </row>
    <row r="69" spans="1:9" x14ac:dyDescent="0.3">
      <c r="A69" t="s">
        <v>3</v>
      </c>
      <c r="B69" t="s">
        <v>334</v>
      </c>
      <c r="C69" t="s">
        <v>335</v>
      </c>
      <c r="D69" t="s">
        <v>336</v>
      </c>
      <c r="E69" t="s">
        <v>338</v>
      </c>
      <c r="F69" s="1">
        <v>2012</v>
      </c>
      <c r="G69" s="1">
        <v>19</v>
      </c>
      <c r="H69" s="1">
        <v>3</v>
      </c>
      <c r="I69" s="25">
        <v>55</v>
      </c>
    </row>
    <row r="70" spans="1:9" x14ac:dyDescent="0.3">
      <c r="A70" t="s">
        <v>3</v>
      </c>
      <c r="B70" t="s">
        <v>334</v>
      </c>
      <c r="C70" t="s">
        <v>335</v>
      </c>
      <c r="D70" t="s">
        <v>336</v>
      </c>
      <c r="E70" t="s">
        <v>377</v>
      </c>
      <c r="F70" s="1">
        <v>2012</v>
      </c>
      <c r="G70" s="1">
        <v>50</v>
      </c>
      <c r="H70" s="1">
        <v>10</v>
      </c>
      <c r="I70" s="25">
        <v>40</v>
      </c>
    </row>
    <row r="71" spans="1:9" x14ac:dyDescent="0.3">
      <c r="A71" t="s">
        <v>3</v>
      </c>
      <c r="B71" t="s">
        <v>334</v>
      </c>
      <c r="C71" t="s">
        <v>335</v>
      </c>
      <c r="D71" t="s">
        <v>336</v>
      </c>
      <c r="E71" t="s">
        <v>363</v>
      </c>
      <c r="F71" s="1">
        <v>2012</v>
      </c>
      <c r="G71" s="1">
        <v>27</v>
      </c>
      <c r="H71" s="1">
        <v>10</v>
      </c>
      <c r="I71" s="25">
        <v>23</v>
      </c>
    </row>
    <row r="72" spans="1:9" x14ac:dyDescent="0.3">
      <c r="A72" t="s">
        <v>3</v>
      </c>
      <c r="B72" t="s">
        <v>334</v>
      </c>
      <c r="C72" t="s">
        <v>335</v>
      </c>
      <c r="D72" t="s">
        <v>336</v>
      </c>
      <c r="E72" t="s">
        <v>408</v>
      </c>
      <c r="F72" s="1">
        <v>2012</v>
      </c>
      <c r="G72" s="1">
        <v>37</v>
      </c>
      <c r="H72" s="1">
        <v>3</v>
      </c>
      <c r="I72" s="25">
        <v>50</v>
      </c>
    </row>
    <row r="73" spans="1:9" x14ac:dyDescent="0.3">
      <c r="A73" t="s">
        <v>3</v>
      </c>
      <c r="B73" t="s">
        <v>334</v>
      </c>
      <c r="C73" t="s">
        <v>335</v>
      </c>
      <c r="D73" t="s">
        <v>336</v>
      </c>
      <c r="E73" t="s">
        <v>373</v>
      </c>
      <c r="F73" s="1">
        <v>2013</v>
      </c>
      <c r="G73" s="1">
        <v>3</v>
      </c>
      <c r="H73" s="1">
        <v>3</v>
      </c>
      <c r="I73" s="25">
        <v>65</v>
      </c>
    </row>
    <row r="74" spans="1:9" x14ac:dyDescent="0.3">
      <c r="A74" t="s">
        <v>3</v>
      </c>
      <c r="B74" t="s">
        <v>334</v>
      </c>
      <c r="C74" t="s">
        <v>335</v>
      </c>
      <c r="D74" t="s">
        <v>336</v>
      </c>
      <c r="E74" t="s">
        <v>376</v>
      </c>
      <c r="F74" s="1">
        <v>2013</v>
      </c>
      <c r="G74" s="1">
        <v>22</v>
      </c>
      <c r="H74" s="1">
        <v>10</v>
      </c>
      <c r="I74" s="25">
        <v>40</v>
      </c>
    </row>
    <row r="75" spans="1:9" x14ac:dyDescent="0.3">
      <c r="A75" t="s">
        <v>3</v>
      </c>
      <c r="B75" t="s">
        <v>334</v>
      </c>
      <c r="C75" t="s">
        <v>335</v>
      </c>
      <c r="D75" t="s">
        <v>336</v>
      </c>
      <c r="E75" t="s">
        <v>366</v>
      </c>
      <c r="F75" s="1">
        <v>2013</v>
      </c>
      <c r="G75" s="1">
        <v>41</v>
      </c>
      <c r="H75" s="1">
        <v>10</v>
      </c>
      <c r="I75" s="25">
        <v>25</v>
      </c>
    </row>
    <row r="76" spans="1:9" x14ac:dyDescent="0.3">
      <c r="A76" t="s">
        <v>3</v>
      </c>
      <c r="B76" t="s">
        <v>334</v>
      </c>
      <c r="C76" t="s">
        <v>335</v>
      </c>
      <c r="D76" t="s">
        <v>336</v>
      </c>
      <c r="E76" t="s">
        <v>372</v>
      </c>
      <c r="F76" s="1">
        <v>2014</v>
      </c>
      <c r="G76" s="1">
        <v>8</v>
      </c>
      <c r="H76" s="1">
        <v>3</v>
      </c>
      <c r="I76" s="25">
        <v>65</v>
      </c>
    </row>
    <row r="77" spans="1:9" x14ac:dyDescent="0.3">
      <c r="A77" t="s">
        <v>3</v>
      </c>
      <c r="B77" t="s">
        <v>334</v>
      </c>
      <c r="C77" t="s">
        <v>335</v>
      </c>
      <c r="D77" t="s">
        <v>336</v>
      </c>
      <c r="E77" t="s">
        <v>389</v>
      </c>
      <c r="F77" s="1">
        <v>2014</v>
      </c>
      <c r="G77" s="1">
        <v>39</v>
      </c>
      <c r="H77" s="1">
        <v>15</v>
      </c>
      <c r="I77" s="25">
        <v>18</v>
      </c>
    </row>
    <row r="78" spans="1:9" x14ac:dyDescent="0.3">
      <c r="A78" t="s">
        <v>3</v>
      </c>
      <c r="B78" t="s">
        <v>334</v>
      </c>
      <c r="C78" t="s">
        <v>335</v>
      </c>
      <c r="D78" t="s">
        <v>336</v>
      </c>
      <c r="E78" t="s">
        <v>339</v>
      </c>
      <c r="F78" s="1">
        <v>2014</v>
      </c>
      <c r="G78" s="1">
        <v>30</v>
      </c>
      <c r="H78" s="1">
        <v>3</v>
      </c>
      <c r="I78" s="25">
        <v>60</v>
      </c>
    </row>
    <row r="79" spans="1:9" x14ac:dyDescent="0.3">
      <c r="A79" t="s">
        <v>3</v>
      </c>
      <c r="B79" t="s">
        <v>334</v>
      </c>
      <c r="C79" t="s">
        <v>335</v>
      </c>
      <c r="D79" t="s">
        <v>336</v>
      </c>
      <c r="E79" t="s">
        <v>375</v>
      </c>
      <c r="F79" s="1">
        <v>2014</v>
      </c>
      <c r="G79" s="1">
        <v>11</v>
      </c>
      <c r="H79" s="1">
        <v>10</v>
      </c>
      <c r="I79" s="25">
        <v>40</v>
      </c>
    </row>
    <row r="80" spans="1:9" x14ac:dyDescent="0.3">
      <c r="A80" t="s">
        <v>3</v>
      </c>
      <c r="B80" t="s">
        <v>334</v>
      </c>
      <c r="C80" t="s">
        <v>335</v>
      </c>
      <c r="D80" t="s">
        <v>336</v>
      </c>
      <c r="E80" t="s">
        <v>362</v>
      </c>
      <c r="F80" s="1">
        <v>2014</v>
      </c>
      <c r="G80" s="1">
        <v>7</v>
      </c>
      <c r="H80" s="1">
        <v>10</v>
      </c>
      <c r="I80" s="25">
        <v>23</v>
      </c>
    </row>
    <row r="81" spans="1:9" x14ac:dyDescent="0.3">
      <c r="A81" t="s">
        <v>3</v>
      </c>
      <c r="B81" t="s">
        <v>334</v>
      </c>
      <c r="C81" t="s">
        <v>335</v>
      </c>
      <c r="D81" t="s">
        <v>336</v>
      </c>
      <c r="E81" t="s">
        <v>357</v>
      </c>
      <c r="F81" s="1">
        <v>2015</v>
      </c>
      <c r="G81" s="1">
        <v>14</v>
      </c>
      <c r="H81" s="1">
        <v>10</v>
      </c>
      <c r="I81" s="25">
        <v>25</v>
      </c>
    </row>
    <row r="82" spans="1:9" x14ac:dyDescent="0.3">
      <c r="A82" t="s">
        <v>3</v>
      </c>
      <c r="B82" t="s">
        <v>334</v>
      </c>
      <c r="C82" t="s">
        <v>335</v>
      </c>
      <c r="D82" t="s">
        <v>336</v>
      </c>
      <c r="E82" t="s">
        <v>388</v>
      </c>
      <c r="F82" s="1">
        <v>2015</v>
      </c>
      <c r="G82" s="1">
        <v>25</v>
      </c>
      <c r="H82" s="1">
        <v>15</v>
      </c>
      <c r="I82" s="25">
        <v>18</v>
      </c>
    </row>
    <row r="83" spans="1:9" x14ac:dyDescent="0.3">
      <c r="A83" t="s">
        <v>3</v>
      </c>
      <c r="B83" t="s">
        <v>334</v>
      </c>
      <c r="C83" t="s">
        <v>335</v>
      </c>
      <c r="D83" t="s">
        <v>336</v>
      </c>
      <c r="E83" t="s">
        <v>364</v>
      </c>
      <c r="F83" s="1">
        <v>2015</v>
      </c>
      <c r="G83" s="1">
        <v>28</v>
      </c>
      <c r="H83" s="1">
        <v>10</v>
      </c>
      <c r="I83" s="25">
        <v>25</v>
      </c>
    </row>
    <row r="84" spans="1:9" x14ac:dyDescent="0.3">
      <c r="A84" t="s">
        <v>3</v>
      </c>
      <c r="B84" t="s">
        <v>334</v>
      </c>
      <c r="C84" t="s">
        <v>335</v>
      </c>
      <c r="D84" t="s">
        <v>336</v>
      </c>
      <c r="E84" t="s">
        <v>365</v>
      </c>
      <c r="F84" s="1">
        <v>2016</v>
      </c>
      <c r="G84" s="1">
        <v>30</v>
      </c>
      <c r="H84" s="1">
        <v>10</v>
      </c>
      <c r="I84" s="25">
        <v>25</v>
      </c>
    </row>
    <row r="85" spans="1:9" x14ac:dyDescent="0.3">
      <c r="A85" t="s">
        <v>327</v>
      </c>
      <c r="B85" t="s">
        <v>135</v>
      </c>
      <c r="C85" t="s">
        <v>328</v>
      </c>
      <c r="D85" t="s">
        <v>329</v>
      </c>
      <c r="E85" t="s">
        <v>421</v>
      </c>
      <c r="F85" s="1">
        <v>2011</v>
      </c>
      <c r="G85" s="1">
        <v>10</v>
      </c>
      <c r="H85" s="1">
        <v>3</v>
      </c>
      <c r="I85" s="25">
        <v>60</v>
      </c>
    </row>
    <row r="86" spans="1:9" x14ac:dyDescent="0.3">
      <c r="A86" t="s">
        <v>327</v>
      </c>
      <c r="B86" t="s">
        <v>135</v>
      </c>
      <c r="C86" t="s">
        <v>328</v>
      </c>
      <c r="D86" t="s">
        <v>329</v>
      </c>
      <c r="E86" t="s">
        <v>421</v>
      </c>
      <c r="F86" s="1">
        <v>2011</v>
      </c>
      <c r="G86" s="1">
        <v>0</v>
      </c>
      <c r="H86" s="1">
        <v>3</v>
      </c>
      <c r="I86" s="25">
        <v>60</v>
      </c>
    </row>
    <row r="87" spans="1:9" x14ac:dyDescent="0.3">
      <c r="A87" t="s">
        <v>327</v>
      </c>
      <c r="B87" t="s">
        <v>135</v>
      </c>
      <c r="C87" t="s">
        <v>328</v>
      </c>
      <c r="D87" t="s">
        <v>329</v>
      </c>
      <c r="E87" t="s">
        <v>355</v>
      </c>
      <c r="F87" s="1">
        <v>2011</v>
      </c>
      <c r="G87" s="1">
        <v>41</v>
      </c>
      <c r="H87" s="1">
        <v>10</v>
      </c>
      <c r="I87" s="25">
        <v>45</v>
      </c>
    </row>
    <row r="88" spans="1:9" x14ac:dyDescent="0.3">
      <c r="A88" t="s">
        <v>327</v>
      </c>
      <c r="B88" t="s">
        <v>135</v>
      </c>
      <c r="C88" t="s">
        <v>328</v>
      </c>
      <c r="D88" t="s">
        <v>329</v>
      </c>
      <c r="E88" t="s">
        <v>424</v>
      </c>
      <c r="F88" s="1">
        <v>2012</v>
      </c>
      <c r="G88" s="1">
        <v>5</v>
      </c>
      <c r="H88" s="1">
        <v>3</v>
      </c>
      <c r="I88" s="25">
        <v>60</v>
      </c>
    </row>
    <row r="89" spans="1:9" x14ac:dyDescent="0.3">
      <c r="A89" t="s">
        <v>327</v>
      </c>
      <c r="B89" t="s">
        <v>135</v>
      </c>
      <c r="C89" t="s">
        <v>328</v>
      </c>
      <c r="D89" t="s">
        <v>329</v>
      </c>
      <c r="E89" t="s">
        <v>331</v>
      </c>
      <c r="F89" s="1">
        <v>2012</v>
      </c>
      <c r="G89" s="1">
        <v>28</v>
      </c>
      <c r="H89" s="1">
        <v>10</v>
      </c>
      <c r="I89" s="25">
        <v>25</v>
      </c>
    </row>
    <row r="90" spans="1:9" x14ac:dyDescent="0.3">
      <c r="A90" t="s">
        <v>327</v>
      </c>
      <c r="B90" t="s">
        <v>135</v>
      </c>
      <c r="C90" t="s">
        <v>328</v>
      </c>
      <c r="D90" t="s">
        <v>329</v>
      </c>
      <c r="E90" t="s">
        <v>352</v>
      </c>
      <c r="F90" s="1">
        <v>2012</v>
      </c>
      <c r="G90" s="1">
        <v>17</v>
      </c>
      <c r="H90" s="1">
        <v>10</v>
      </c>
      <c r="I90" s="25">
        <v>45</v>
      </c>
    </row>
    <row r="91" spans="1:9" x14ac:dyDescent="0.3">
      <c r="A91" t="s">
        <v>327</v>
      </c>
      <c r="B91" t="s">
        <v>135</v>
      </c>
      <c r="C91" t="s">
        <v>328</v>
      </c>
      <c r="D91" t="s">
        <v>329</v>
      </c>
      <c r="E91" t="s">
        <v>422</v>
      </c>
      <c r="F91" s="1">
        <v>2013</v>
      </c>
      <c r="G91" s="1">
        <v>30</v>
      </c>
      <c r="H91" s="1">
        <v>3</v>
      </c>
      <c r="I91" s="25">
        <v>60</v>
      </c>
    </row>
    <row r="92" spans="1:9" x14ac:dyDescent="0.3">
      <c r="A92" t="s">
        <v>327</v>
      </c>
      <c r="B92" t="s">
        <v>135</v>
      </c>
      <c r="C92" t="s">
        <v>328</v>
      </c>
      <c r="D92" t="s">
        <v>329</v>
      </c>
      <c r="E92" t="s">
        <v>344</v>
      </c>
      <c r="F92" s="1">
        <v>2013</v>
      </c>
      <c r="G92" s="1">
        <v>21</v>
      </c>
      <c r="H92" s="1">
        <v>10</v>
      </c>
      <c r="I92" s="25">
        <v>45</v>
      </c>
    </row>
    <row r="93" spans="1:9" x14ac:dyDescent="0.3">
      <c r="A93" t="s">
        <v>327</v>
      </c>
      <c r="B93" t="s">
        <v>135</v>
      </c>
      <c r="C93" t="s">
        <v>328</v>
      </c>
      <c r="D93" t="s">
        <v>329</v>
      </c>
      <c r="E93" t="s">
        <v>330</v>
      </c>
      <c r="F93" s="1">
        <v>2013</v>
      </c>
      <c r="G93" s="1">
        <v>47</v>
      </c>
      <c r="H93" s="1">
        <v>10</v>
      </c>
      <c r="I93" s="25">
        <v>25</v>
      </c>
    </row>
    <row r="94" spans="1:9" x14ac:dyDescent="0.3">
      <c r="A94" t="s">
        <v>327</v>
      </c>
      <c r="B94" t="s">
        <v>135</v>
      </c>
      <c r="C94" t="s">
        <v>328</v>
      </c>
      <c r="D94" t="s">
        <v>329</v>
      </c>
      <c r="E94" t="s">
        <v>354</v>
      </c>
      <c r="F94" s="1">
        <v>2013</v>
      </c>
      <c r="G94" s="1">
        <v>27</v>
      </c>
      <c r="H94" s="1">
        <v>10</v>
      </c>
      <c r="I94" s="25">
        <v>45</v>
      </c>
    </row>
    <row r="95" spans="1:9" x14ac:dyDescent="0.3">
      <c r="A95" t="s">
        <v>327</v>
      </c>
      <c r="B95" t="s">
        <v>135</v>
      </c>
      <c r="C95" t="s">
        <v>328</v>
      </c>
      <c r="D95" t="s">
        <v>329</v>
      </c>
      <c r="E95" t="s">
        <v>423</v>
      </c>
      <c r="F95" s="1">
        <v>2014</v>
      </c>
      <c r="G95" s="1">
        <v>36</v>
      </c>
      <c r="H95" s="1">
        <v>3</v>
      </c>
      <c r="I95" s="25">
        <v>60</v>
      </c>
    </row>
    <row r="96" spans="1:9" x14ac:dyDescent="0.3">
      <c r="A96" t="s">
        <v>327</v>
      </c>
      <c r="B96" t="s">
        <v>135</v>
      </c>
      <c r="C96" t="s">
        <v>328</v>
      </c>
      <c r="D96" t="s">
        <v>329</v>
      </c>
      <c r="E96" t="s">
        <v>333</v>
      </c>
      <c r="F96" s="1">
        <v>2014</v>
      </c>
      <c r="G96" s="1">
        <v>24</v>
      </c>
      <c r="H96" s="1">
        <v>10</v>
      </c>
      <c r="I96" s="25">
        <v>28</v>
      </c>
    </row>
    <row r="97" spans="1:9" x14ac:dyDescent="0.3">
      <c r="A97" t="s">
        <v>327</v>
      </c>
      <c r="B97" t="s">
        <v>135</v>
      </c>
      <c r="C97" t="s">
        <v>328</v>
      </c>
      <c r="D97" t="s">
        <v>329</v>
      </c>
      <c r="E97" t="s">
        <v>353</v>
      </c>
      <c r="F97" s="1">
        <v>2014</v>
      </c>
      <c r="G97" s="1">
        <v>35</v>
      </c>
      <c r="H97" s="1">
        <v>10</v>
      </c>
      <c r="I97" s="25">
        <v>45</v>
      </c>
    </row>
    <row r="98" spans="1:9" x14ac:dyDescent="0.3">
      <c r="A98" t="s">
        <v>327</v>
      </c>
      <c r="B98" t="s">
        <v>135</v>
      </c>
      <c r="C98" t="s">
        <v>328</v>
      </c>
      <c r="D98" t="s">
        <v>329</v>
      </c>
      <c r="E98" t="s">
        <v>353</v>
      </c>
      <c r="F98" s="1">
        <v>2014</v>
      </c>
      <c r="G98" s="1">
        <v>1</v>
      </c>
      <c r="H98" s="1">
        <v>10</v>
      </c>
      <c r="I98" s="25">
        <v>45</v>
      </c>
    </row>
    <row r="99" spans="1:9" x14ac:dyDescent="0.3">
      <c r="A99" t="s">
        <v>327</v>
      </c>
      <c r="B99" t="s">
        <v>135</v>
      </c>
      <c r="C99" t="s">
        <v>328</v>
      </c>
      <c r="D99" t="s">
        <v>329</v>
      </c>
      <c r="E99" t="s">
        <v>332</v>
      </c>
      <c r="F99" s="1">
        <v>2015</v>
      </c>
      <c r="G99" s="1">
        <v>44</v>
      </c>
      <c r="H99" s="1">
        <v>10</v>
      </c>
      <c r="I99" s="25">
        <v>28</v>
      </c>
    </row>
    <row r="100" spans="1:9" x14ac:dyDescent="0.3">
      <c r="A100" t="s">
        <v>327</v>
      </c>
      <c r="B100" t="s">
        <v>135</v>
      </c>
      <c r="C100" t="s">
        <v>427</v>
      </c>
      <c r="D100" t="s">
        <v>428</v>
      </c>
      <c r="E100" t="s">
        <v>429</v>
      </c>
      <c r="F100" s="1">
        <v>2013</v>
      </c>
      <c r="G100" s="1">
        <v>16</v>
      </c>
      <c r="H100" s="1">
        <v>15</v>
      </c>
      <c r="I100" s="25">
        <v>15</v>
      </c>
    </row>
    <row r="101" spans="1:9" x14ac:dyDescent="0.3">
      <c r="A101" t="s">
        <v>327</v>
      </c>
      <c r="B101" t="s">
        <v>135</v>
      </c>
      <c r="C101" t="s">
        <v>427</v>
      </c>
      <c r="D101" t="s">
        <v>428</v>
      </c>
      <c r="E101" t="s">
        <v>430</v>
      </c>
      <c r="F101" s="1">
        <v>2014</v>
      </c>
      <c r="G101" s="1">
        <v>25</v>
      </c>
      <c r="H101" s="1">
        <v>15</v>
      </c>
      <c r="I101" s="25">
        <v>15</v>
      </c>
    </row>
  </sheetData>
  <conditionalFormatting sqref="A2:I101">
    <cfRule type="expression" dxfId="1" priority="1">
      <formula>$G2&lt;=$H2</formula>
    </cfRule>
    <cfRule type="expression" dxfId="0" priority="2">
      <formula>$G2&lt;=$H2</formula>
    </cfRule>
    <cfRule type="expression" priority="3">
      <formula>$G2&gt;=_xlfn.SINGLE(H2)</formula>
    </cfRule>
    <cfRule type="expression" priority="4">
      <formula>"$G2&lt;=H2"</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6800D-CDBC-4C67-8FD0-509CE997BD3D}">
  <sheetPr>
    <tabColor theme="6" tint="0.59999389629810485"/>
  </sheetPr>
  <dimension ref="A1:B5"/>
  <sheetViews>
    <sheetView workbookViewId="0">
      <selection activeCell="B6" sqref="B6"/>
    </sheetView>
  </sheetViews>
  <sheetFormatPr defaultRowHeight="14.4" x14ac:dyDescent="0.3"/>
  <cols>
    <col min="1" max="1" width="28.88671875" bestFit="1" customWidth="1"/>
    <col min="2" max="2" width="11.44140625" customWidth="1"/>
  </cols>
  <sheetData>
    <row r="1" spans="1:2" x14ac:dyDescent="0.3">
      <c r="A1" s="47" t="s">
        <v>431</v>
      </c>
      <c r="B1" s="47"/>
    </row>
    <row r="2" spans="1:2" x14ac:dyDescent="0.3">
      <c r="A2" s="4" t="s">
        <v>435</v>
      </c>
      <c r="B2" s="27" t="s">
        <v>436</v>
      </c>
    </row>
    <row r="3" spans="1:2" x14ac:dyDescent="0.3">
      <c r="A3" s="4" t="s">
        <v>432</v>
      </c>
      <c r="B3" s="26">
        <v>44149</v>
      </c>
    </row>
    <row r="4" spans="1:2" x14ac:dyDescent="0.3">
      <c r="A4" s="7" t="s">
        <v>433</v>
      </c>
      <c r="B4" s="8">
        <v>12</v>
      </c>
    </row>
    <row r="5" spans="1:2" x14ac:dyDescent="0.3">
      <c r="A5" s="9" t="s">
        <v>434</v>
      </c>
      <c r="B5" s="42">
        <f>WORKDAY(B3,B4)</f>
        <v>44166</v>
      </c>
    </row>
  </sheetData>
  <mergeCells count="1">
    <mergeCell ref="A1:B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97CA5-3978-47E0-9BE9-7BF73605D03B}">
  <sheetPr>
    <tabColor theme="8" tint="-0.249977111117893"/>
  </sheetPr>
  <dimension ref="A1"/>
  <sheetViews>
    <sheetView showGridLines="0" workbookViewId="0"/>
  </sheetViews>
  <sheetFormatPr defaultRowHeight="14.4" x14ac:dyDescent="0.3"/>
  <cols>
    <col min="1" max="1" width="2.88671875" customWidth="1"/>
  </cols>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CBC98-8499-4B83-BB96-FF226E78403D}">
  <sheetPr>
    <tabColor theme="8" tint="0.59999389629810485"/>
  </sheetPr>
  <dimension ref="A1:G89"/>
  <sheetViews>
    <sheetView topLeftCell="A13" workbookViewId="0">
      <selection activeCell="D12" sqref="D12"/>
    </sheetView>
  </sheetViews>
  <sheetFormatPr defaultRowHeight="14.4" outlineLevelRow="2" x14ac:dyDescent="0.3"/>
  <cols>
    <col min="1" max="1" width="14.6640625" style="1" bestFit="1" customWidth="1"/>
    <col min="2" max="2" width="18.5546875" bestFit="1" customWidth="1"/>
    <col min="3" max="3" width="20.88671875" bestFit="1" customWidth="1"/>
    <col min="4" max="4" width="23" bestFit="1" customWidth="1"/>
    <col min="5" max="5" width="29.109375" bestFit="1" customWidth="1"/>
    <col min="6" max="6" width="14.5546875" bestFit="1" customWidth="1"/>
    <col min="7" max="7" width="15" bestFit="1" customWidth="1"/>
  </cols>
  <sheetData>
    <row r="1" spans="1:7" x14ac:dyDescent="0.3">
      <c r="A1" s="28" t="s">
        <v>17</v>
      </c>
      <c r="B1" s="28" t="s">
        <v>561</v>
      </c>
      <c r="C1" s="28" t="s">
        <v>562</v>
      </c>
      <c r="D1" s="28" t="s">
        <v>563</v>
      </c>
      <c r="E1" s="28" t="s">
        <v>18</v>
      </c>
      <c r="F1" s="28" t="s">
        <v>564</v>
      </c>
      <c r="G1" s="28" t="s">
        <v>565</v>
      </c>
    </row>
    <row r="2" spans="1:7" outlineLevel="2" x14ac:dyDescent="0.3">
      <c r="A2" s="1">
        <v>1</v>
      </c>
      <c r="B2" t="s">
        <v>440</v>
      </c>
      <c r="C2" t="s">
        <v>441</v>
      </c>
      <c r="D2" t="s">
        <v>442</v>
      </c>
      <c r="E2" t="s">
        <v>443</v>
      </c>
      <c r="F2" s="22">
        <v>1289</v>
      </c>
      <c r="G2" s="6">
        <v>23202</v>
      </c>
    </row>
    <row r="3" spans="1:7" outlineLevel="2" x14ac:dyDescent="0.3">
      <c r="A3" s="1">
        <v>2</v>
      </c>
      <c r="B3" t="s">
        <v>440</v>
      </c>
      <c r="C3" t="s">
        <v>441</v>
      </c>
      <c r="D3" t="s">
        <v>444</v>
      </c>
      <c r="E3" t="s">
        <v>445</v>
      </c>
      <c r="F3" s="22">
        <v>1186</v>
      </c>
      <c r="G3" s="6">
        <v>21348</v>
      </c>
    </row>
    <row r="4" spans="1:7" outlineLevel="2" x14ac:dyDescent="0.3">
      <c r="A4" s="1">
        <v>3</v>
      </c>
      <c r="B4" t="s">
        <v>440</v>
      </c>
      <c r="C4" t="s">
        <v>441</v>
      </c>
      <c r="D4" t="s">
        <v>446</v>
      </c>
      <c r="E4" t="s">
        <v>447</v>
      </c>
      <c r="F4" s="22">
        <v>988</v>
      </c>
      <c r="G4" s="6">
        <v>14573</v>
      </c>
    </row>
    <row r="5" spans="1:7" outlineLevel="2" x14ac:dyDescent="0.3">
      <c r="A5" s="1">
        <v>4</v>
      </c>
      <c r="B5" t="s">
        <v>440</v>
      </c>
      <c r="C5" t="s">
        <v>441</v>
      </c>
      <c r="D5" t="s">
        <v>446</v>
      </c>
      <c r="E5" t="s">
        <v>448</v>
      </c>
      <c r="F5" s="22">
        <v>891</v>
      </c>
      <c r="G5" s="6">
        <v>18220.95</v>
      </c>
    </row>
    <row r="6" spans="1:7" outlineLevel="2" x14ac:dyDescent="0.3">
      <c r="A6" s="1">
        <v>5</v>
      </c>
      <c r="B6" t="s">
        <v>440</v>
      </c>
      <c r="C6" t="s">
        <v>441</v>
      </c>
      <c r="D6" t="s">
        <v>449</v>
      </c>
      <c r="E6" t="s">
        <v>450</v>
      </c>
      <c r="F6" s="22">
        <v>908</v>
      </c>
      <c r="G6" s="6">
        <v>13620</v>
      </c>
    </row>
    <row r="7" spans="1:7" outlineLevel="2" x14ac:dyDescent="0.3">
      <c r="A7" s="1">
        <v>6</v>
      </c>
      <c r="B7" t="s">
        <v>440</v>
      </c>
      <c r="C7" t="s">
        <v>441</v>
      </c>
      <c r="D7" t="s">
        <v>449</v>
      </c>
      <c r="E7" t="s">
        <v>202</v>
      </c>
      <c r="F7" s="22">
        <v>1326</v>
      </c>
      <c r="G7" s="6">
        <v>27846</v>
      </c>
    </row>
    <row r="8" spans="1:7" outlineLevel="2" x14ac:dyDescent="0.3">
      <c r="A8" s="1">
        <v>7</v>
      </c>
      <c r="B8" t="s">
        <v>440</v>
      </c>
      <c r="C8" t="s">
        <v>441</v>
      </c>
      <c r="D8" t="s">
        <v>451</v>
      </c>
      <c r="E8" t="s">
        <v>452</v>
      </c>
      <c r="F8" s="22">
        <v>926</v>
      </c>
      <c r="G8" s="6">
        <v>18288.5</v>
      </c>
    </row>
    <row r="9" spans="1:7" outlineLevel="2" x14ac:dyDescent="0.3">
      <c r="A9" s="1">
        <v>8</v>
      </c>
      <c r="B9" t="s">
        <v>440</v>
      </c>
      <c r="C9" t="s">
        <v>441</v>
      </c>
      <c r="D9" t="s">
        <v>451</v>
      </c>
      <c r="E9" t="s">
        <v>453</v>
      </c>
      <c r="F9" s="22">
        <v>1479</v>
      </c>
      <c r="G9" s="6">
        <v>66555</v>
      </c>
    </row>
    <row r="10" spans="1:7" outlineLevel="2" x14ac:dyDescent="0.3">
      <c r="A10" s="1">
        <v>9</v>
      </c>
      <c r="B10" t="s">
        <v>440</v>
      </c>
      <c r="C10" t="s">
        <v>441</v>
      </c>
      <c r="D10" t="s">
        <v>442</v>
      </c>
      <c r="E10" t="s">
        <v>454</v>
      </c>
      <c r="F10" s="22">
        <v>1233</v>
      </c>
      <c r="G10" s="6">
        <v>27742.5</v>
      </c>
    </row>
    <row r="11" spans="1:7" outlineLevel="2" x14ac:dyDescent="0.3">
      <c r="A11" s="1">
        <v>10</v>
      </c>
      <c r="B11" t="s">
        <v>440</v>
      </c>
      <c r="C11" t="s">
        <v>441</v>
      </c>
      <c r="D11" t="s">
        <v>455</v>
      </c>
      <c r="E11" t="s">
        <v>456</v>
      </c>
      <c r="F11" s="22">
        <v>869</v>
      </c>
      <c r="G11" s="6">
        <v>8690</v>
      </c>
    </row>
    <row r="12" spans="1:7" outlineLevel="2" x14ac:dyDescent="0.3">
      <c r="A12" s="1">
        <v>11</v>
      </c>
      <c r="B12" t="s">
        <v>440</v>
      </c>
      <c r="C12" t="s">
        <v>457</v>
      </c>
      <c r="D12" t="s">
        <v>458</v>
      </c>
      <c r="E12" t="s">
        <v>459</v>
      </c>
      <c r="F12" s="22">
        <v>981</v>
      </c>
      <c r="G12" s="6">
        <v>8779.9499999999989</v>
      </c>
    </row>
    <row r="13" spans="1:7" outlineLevel="2" x14ac:dyDescent="0.3">
      <c r="A13" s="1">
        <v>12</v>
      </c>
      <c r="B13" t="s">
        <v>440</v>
      </c>
      <c r="C13" t="s">
        <v>457</v>
      </c>
      <c r="D13" t="s">
        <v>458</v>
      </c>
      <c r="E13" t="s">
        <v>460</v>
      </c>
      <c r="F13" s="22">
        <v>861</v>
      </c>
      <c r="G13" s="6">
        <v>7705.95</v>
      </c>
    </row>
    <row r="14" spans="1:7" outlineLevel="2" x14ac:dyDescent="0.3">
      <c r="A14" s="1">
        <v>13</v>
      </c>
      <c r="B14" t="s">
        <v>440</v>
      </c>
      <c r="C14" t="s">
        <v>457</v>
      </c>
      <c r="D14" t="s">
        <v>461</v>
      </c>
      <c r="E14" t="s">
        <v>462</v>
      </c>
      <c r="F14" s="22">
        <v>1000</v>
      </c>
      <c r="G14" s="6">
        <v>8950</v>
      </c>
    </row>
    <row r="15" spans="1:7" outlineLevel="2" x14ac:dyDescent="0.3">
      <c r="A15" s="1">
        <v>14</v>
      </c>
      <c r="B15" t="s">
        <v>440</v>
      </c>
      <c r="C15" t="s">
        <v>457</v>
      </c>
      <c r="D15" t="s">
        <v>461</v>
      </c>
      <c r="E15" t="s">
        <v>463</v>
      </c>
      <c r="F15" s="22">
        <v>864</v>
      </c>
      <c r="G15" s="6">
        <v>7732.7999999999993</v>
      </c>
    </row>
    <row r="16" spans="1:7" outlineLevel="2" x14ac:dyDescent="0.3">
      <c r="A16" s="1">
        <v>15</v>
      </c>
      <c r="B16" t="s">
        <v>440</v>
      </c>
      <c r="C16" t="s">
        <v>457</v>
      </c>
      <c r="D16" t="s">
        <v>464</v>
      </c>
      <c r="E16" t="s">
        <v>465</v>
      </c>
      <c r="F16" s="22">
        <v>908</v>
      </c>
      <c r="G16" s="6">
        <v>8399</v>
      </c>
    </row>
    <row r="17" spans="1:7" outlineLevel="2" x14ac:dyDescent="0.3">
      <c r="A17" s="1">
        <v>16</v>
      </c>
      <c r="B17" t="s">
        <v>440</v>
      </c>
      <c r="C17" t="s">
        <v>457</v>
      </c>
      <c r="D17" t="s">
        <v>466</v>
      </c>
      <c r="E17" t="s">
        <v>467</v>
      </c>
      <c r="F17" s="22">
        <v>938</v>
      </c>
      <c r="G17" s="6">
        <v>8395.0999999999985</v>
      </c>
    </row>
    <row r="18" spans="1:7" outlineLevel="2" x14ac:dyDescent="0.3">
      <c r="A18" s="1">
        <v>17</v>
      </c>
      <c r="B18" t="s">
        <v>440</v>
      </c>
      <c r="C18" t="s">
        <v>457</v>
      </c>
      <c r="D18" t="s">
        <v>466</v>
      </c>
      <c r="E18" t="s">
        <v>468</v>
      </c>
      <c r="F18" s="22">
        <v>1061</v>
      </c>
      <c r="G18" s="6">
        <v>10079.5</v>
      </c>
    </row>
    <row r="19" spans="1:7" outlineLevel="2" x14ac:dyDescent="0.3">
      <c r="A19" s="1">
        <v>18</v>
      </c>
      <c r="B19" t="s">
        <v>440</v>
      </c>
      <c r="C19" t="s">
        <v>457</v>
      </c>
      <c r="D19" t="s">
        <v>466</v>
      </c>
      <c r="E19" t="s">
        <v>469</v>
      </c>
      <c r="F19" s="22">
        <v>768</v>
      </c>
      <c r="G19" s="6">
        <v>8409.5999999999985</v>
      </c>
    </row>
    <row r="20" spans="1:7" outlineLevel="2" x14ac:dyDescent="0.3">
      <c r="A20" s="1">
        <v>19</v>
      </c>
      <c r="B20" t="s">
        <v>440</v>
      </c>
      <c r="C20" t="s">
        <v>470</v>
      </c>
      <c r="D20" t="s">
        <v>471</v>
      </c>
      <c r="E20" t="s">
        <v>472</v>
      </c>
      <c r="F20" s="22">
        <v>672</v>
      </c>
      <c r="G20" s="6">
        <v>4300.8</v>
      </c>
    </row>
    <row r="21" spans="1:7" outlineLevel="2" x14ac:dyDescent="0.3">
      <c r="A21" s="1">
        <v>20</v>
      </c>
      <c r="B21" t="s">
        <v>440</v>
      </c>
      <c r="C21" t="s">
        <v>470</v>
      </c>
      <c r="D21" t="s">
        <v>473</v>
      </c>
      <c r="E21" t="s">
        <v>474</v>
      </c>
      <c r="F21" s="22">
        <v>1271</v>
      </c>
      <c r="G21" s="6">
        <v>9659.6</v>
      </c>
    </row>
    <row r="22" spans="1:7" outlineLevel="2" x14ac:dyDescent="0.3">
      <c r="A22" s="1">
        <v>21</v>
      </c>
      <c r="B22" t="s">
        <v>440</v>
      </c>
      <c r="C22" t="s">
        <v>470</v>
      </c>
      <c r="D22" t="s">
        <v>471</v>
      </c>
      <c r="E22" t="s">
        <v>475</v>
      </c>
      <c r="F22" s="22">
        <v>872</v>
      </c>
      <c r="G22" s="6">
        <v>11623.76</v>
      </c>
    </row>
    <row r="23" spans="1:7" outlineLevel="1" x14ac:dyDescent="0.3">
      <c r="B23" s="29" t="s">
        <v>655</v>
      </c>
      <c r="F23" s="22">
        <f>SUBTOTAL(9,F2:F22)</f>
        <v>21291</v>
      </c>
      <c r="G23" s="6">
        <f>SUBTOTAL(9,G2:G22)</f>
        <v>334122.00999999995</v>
      </c>
    </row>
    <row r="24" spans="1:7" outlineLevel="2" x14ac:dyDescent="0.3">
      <c r="A24" s="1">
        <v>22</v>
      </c>
      <c r="B24" t="s">
        <v>476</v>
      </c>
      <c r="C24" t="s">
        <v>477</v>
      </c>
      <c r="D24" t="s">
        <v>478</v>
      </c>
      <c r="E24" t="s">
        <v>479</v>
      </c>
      <c r="F24" s="22">
        <v>26768</v>
      </c>
      <c r="G24" s="6">
        <v>53536</v>
      </c>
    </row>
    <row r="25" spans="1:7" outlineLevel="2" x14ac:dyDescent="0.3">
      <c r="A25" s="1">
        <v>23</v>
      </c>
      <c r="B25" t="s">
        <v>476</v>
      </c>
      <c r="C25" t="s">
        <v>477</v>
      </c>
      <c r="D25" t="s">
        <v>478</v>
      </c>
      <c r="E25" t="s">
        <v>480</v>
      </c>
      <c r="F25" s="22">
        <v>26831</v>
      </c>
      <c r="G25" s="6">
        <v>67077.5</v>
      </c>
    </row>
    <row r="26" spans="1:7" outlineLevel="2" x14ac:dyDescent="0.3">
      <c r="A26" s="1">
        <v>24</v>
      </c>
      <c r="B26" t="s">
        <v>476</v>
      </c>
      <c r="C26" t="s">
        <v>477</v>
      </c>
      <c r="D26" t="s">
        <v>478</v>
      </c>
      <c r="E26" t="s">
        <v>481</v>
      </c>
      <c r="F26" s="22">
        <v>24888</v>
      </c>
      <c r="G26" s="6">
        <v>74664</v>
      </c>
    </row>
    <row r="27" spans="1:7" outlineLevel="2" x14ac:dyDescent="0.3">
      <c r="A27" s="1">
        <v>25</v>
      </c>
      <c r="B27" t="s">
        <v>476</v>
      </c>
      <c r="C27" t="s">
        <v>477</v>
      </c>
      <c r="D27" t="s">
        <v>482</v>
      </c>
      <c r="E27" t="s">
        <v>483</v>
      </c>
      <c r="F27" s="22">
        <v>26671</v>
      </c>
      <c r="G27" s="6">
        <v>58676.200000000004</v>
      </c>
    </row>
    <row r="28" spans="1:7" outlineLevel="2" x14ac:dyDescent="0.3">
      <c r="A28" s="1">
        <v>26</v>
      </c>
      <c r="B28" t="s">
        <v>476</v>
      </c>
      <c r="C28" t="s">
        <v>477</v>
      </c>
      <c r="D28" t="s">
        <v>482</v>
      </c>
      <c r="E28" t="s">
        <v>484</v>
      </c>
      <c r="F28" s="22">
        <v>26852</v>
      </c>
      <c r="G28" s="6">
        <v>80556</v>
      </c>
    </row>
    <row r="29" spans="1:7" outlineLevel="2" x14ac:dyDescent="0.3">
      <c r="A29" s="1">
        <v>27</v>
      </c>
      <c r="B29" t="s">
        <v>476</v>
      </c>
      <c r="C29" t="s">
        <v>477</v>
      </c>
      <c r="D29" t="s">
        <v>482</v>
      </c>
      <c r="E29" t="s">
        <v>485</v>
      </c>
      <c r="F29" s="22">
        <v>26001</v>
      </c>
      <c r="G29" s="6">
        <v>91003.5</v>
      </c>
    </row>
    <row r="30" spans="1:7" outlineLevel="2" x14ac:dyDescent="0.3">
      <c r="A30" s="1">
        <v>28</v>
      </c>
      <c r="B30" t="s">
        <v>476</v>
      </c>
      <c r="C30" t="s">
        <v>477</v>
      </c>
      <c r="D30" t="s">
        <v>486</v>
      </c>
      <c r="E30" t="s">
        <v>487</v>
      </c>
      <c r="F30" s="22">
        <v>25236</v>
      </c>
      <c r="G30" s="6">
        <v>50472</v>
      </c>
    </row>
    <row r="31" spans="1:7" outlineLevel="2" x14ac:dyDescent="0.3">
      <c r="A31" s="1">
        <v>29</v>
      </c>
      <c r="B31" t="s">
        <v>476</v>
      </c>
      <c r="C31" t="s">
        <v>477</v>
      </c>
      <c r="D31" t="s">
        <v>486</v>
      </c>
      <c r="E31" t="s">
        <v>488</v>
      </c>
      <c r="F31" s="22">
        <v>27514</v>
      </c>
      <c r="G31" s="6">
        <v>68785</v>
      </c>
    </row>
    <row r="32" spans="1:7" outlineLevel="2" x14ac:dyDescent="0.3">
      <c r="A32" s="1">
        <v>30</v>
      </c>
      <c r="B32" t="s">
        <v>476</v>
      </c>
      <c r="C32" t="s">
        <v>477</v>
      </c>
      <c r="D32" t="s">
        <v>486</v>
      </c>
      <c r="E32" t="s">
        <v>489</v>
      </c>
      <c r="F32" s="22">
        <v>25970</v>
      </c>
      <c r="G32" s="6">
        <v>77910</v>
      </c>
    </row>
    <row r="33" spans="1:7" outlineLevel="2" x14ac:dyDescent="0.3">
      <c r="A33" s="1">
        <v>31</v>
      </c>
      <c r="B33" t="s">
        <v>476</v>
      </c>
      <c r="C33" t="s">
        <v>477</v>
      </c>
      <c r="D33" t="s">
        <v>486</v>
      </c>
      <c r="E33" t="s">
        <v>490</v>
      </c>
      <c r="F33" s="22">
        <v>27061</v>
      </c>
      <c r="G33" s="6">
        <v>59534.200000000004</v>
      </c>
    </row>
    <row r="34" spans="1:7" outlineLevel="2" x14ac:dyDescent="0.3">
      <c r="A34" s="1">
        <v>32</v>
      </c>
      <c r="B34" t="s">
        <v>476</v>
      </c>
      <c r="C34" t="s">
        <v>477</v>
      </c>
      <c r="D34" t="s">
        <v>486</v>
      </c>
      <c r="E34" t="s">
        <v>491</v>
      </c>
      <c r="F34" s="22">
        <v>27287</v>
      </c>
      <c r="G34" s="6">
        <v>81861</v>
      </c>
    </row>
    <row r="35" spans="1:7" outlineLevel="2" x14ac:dyDescent="0.3">
      <c r="A35" s="1">
        <v>33</v>
      </c>
      <c r="B35" t="s">
        <v>476</v>
      </c>
      <c r="C35" t="s">
        <v>477</v>
      </c>
      <c r="D35" t="s">
        <v>486</v>
      </c>
      <c r="E35" t="s">
        <v>492</v>
      </c>
      <c r="F35" s="22">
        <v>26146</v>
      </c>
      <c r="G35" s="6">
        <v>91511</v>
      </c>
    </row>
    <row r="36" spans="1:7" outlineLevel="2" x14ac:dyDescent="0.3">
      <c r="A36" s="1">
        <v>34</v>
      </c>
      <c r="B36" t="s">
        <v>476</v>
      </c>
      <c r="C36" t="s">
        <v>477</v>
      </c>
      <c r="D36" t="s">
        <v>493</v>
      </c>
      <c r="E36" t="s">
        <v>494</v>
      </c>
      <c r="F36" s="22">
        <v>24566</v>
      </c>
      <c r="G36" s="6">
        <v>60186.700000000004</v>
      </c>
    </row>
    <row r="37" spans="1:7" outlineLevel="2" x14ac:dyDescent="0.3">
      <c r="A37" s="1">
        <v>35</v>
      </c>
      <c r="B37" t="s">
        <v>476</v>
      </c>
      <c r="C37" t="s">
        <v>477</v>
      </c>
      <c r="D37" t="s">
        <v>493</v>
      </c>
      <c r="E37" t="s">
        <v>495</v>
      </c>
      <c r="F37" s="22">
        <v>24877</v>
      </c>
      <c r="G37" s="6">
        <v>77118.7</v>
      </c>
    </row>
    <row r="38" spans="1:7" outlineLevel="2" x14ac:dyDescent="0.3">
      <c r="A38" s="1">
        <v>36</v>
      </c>
      <c r="B38" t="s">
        <v>476</v>
      </c>
      <c r="C38" t="s">
        <v>477</v>
      </c>
      <c r="D38" t="s">
        <v>493</v>
      </c>
      <c r="E38" t="s">
        <v>496</v>
      </c>
      <c r="F38" s="22">
        <v>26489</v>
      </c>
      <c r="G38" s="6">
        <v>99333.75</v>
      </c>
    </row>
    <row r="39" spans="1:7" outlineLevel="2" x14ac:dyDescent="0.3">
      <c r="A39" s="1">
        <v>37</v>
      </c>
      <c r="B39" t="s">
        <v>476</v>
      </c>
      <c r="C39" t="s">
        <v>477</v>
      </c>
      <c r="D39" t="s">
        <v>497</v>
      </c>
      <c r="E39" t="s">
        <v>498</v>
      </c>
      <c r="F39" s="22">
        <v>25726</v>
      </c>
      <c r="G39" s="6">
        <v>77178</v>
      </c>
    </row>
    <row r="40" spans="1:7" outlineLevel="2" x14ac:dyDescent="0.3">
      <c r="A40" s="1">
        <v>38</v>
      </c>
      <c r="B40" t="s">
        <v>476</v>
      </c>
      <c r="C40" t="s">
        <v>477</v>
      </c>
      <c r="D40" t="s">
        <v>497</v>
      </c>
      <c r="E40" t="s">
        <v>499</v>
      </c>
      <c r="F40" s="22">
        <v>27754</v>
      </c>
      <c r="G40" s="6">
        <v>104077.5</v>
      </c>
    </row>
    <row r="41" spans="1:7" outlineLevel="2" x14ac:dyDescent="0.3">
      <c r="A41" s="1">
        <v>39</v>
      </c>
      <c r="B41" t="s">
        <v>476</v>
      </c>
      <c r="C41" t="s">
        <v>477</v>
      </c>
      <c r="D41" t="s">
        <v>497</v>
      </c>
      <c r="E41" t="s">
        <v>500</v>
      </c>
      <c r="F41" s="22">
        <v>27141</v>
      </c>
      <c r="G41" s="6">
        <v>115349.25</v>
      </c>
    </row>
    <row r="42" spans="1:7" outlineLevel="2" x14ac:dyDescent="0.3">
      <c r="A42" s="1">
        <v>40</v>
      </c>
      <c r="B42" t="s">
        <v>476</v>
      </c>
      <c r="C42" t="s">
        <v>477</v>
      </c>
      <c r="D42" t="s">
        <v>497</v>
      </c>
      <c r="E42" t="s">
        <v>501</v>
      </c>
      <c r="F42" s="22">
        <v>26355</v>
      </c>
      <c r="G42" s="6">
        <v>98831.25</v>
      </c>
    </row>
    <row r="43" spans="1:7" outlineLevel="2" x14ac:dyDescent="0.3">
      <c r="A43" s="1">
        <v>41</v>
      </c>
      <c r="B43" t="s">
        <v>476</v>
      </c>
      <c r="C43" t="s">
        <v>477</v>
      </c>
      <c r="D43" t="s">
        <v>497</v>
      </c>
      <c r="E43" t="s">
        <v>502</v>
      </c>
      <c r="F43" s="22">
        <v>25836</v>
      </c>
      <c r="G43" s="6">
        <v>109803</v>
      </c>
    </row>
    <row r="44" spans="1:7" outlineLevel="2" x14ac:dyDescent="0.3">
      <c r="A44" s="1">
        <v>42</v>
      </c>
      <c r="B44" t="s">
        <v>476</v>
      </c>
      <c r="C44" t="s">
        <v>503</v>
      </c>
      <c r="D44" t="s">
        <v>504</v>
      </c>
      <c r="E44" t="s">
        <v>505</v>
      </c>
      <c r="F44" s="22">
        <v>26553</v>
      </c>
      <c r="G44" s="6">
        <v>66382.5</v>
      </c>
    </row>
    <row r="45" spans="1:7" outlineLevel="2" x14ac:dyDescent="0.3">
      <c r="A45" s="1">
        <v>43</v>
      </c>
      <c r="B45" t="s">
        <v>476</v>
      </c>
      <c r="C45" t="s">
        <v>503</v>
      </c>
      <c r="D45" t="s">
        <v>504</v>
      </c>
      <c r="E45" t="s">
        <v>506</v>
      </c>
      <c r="F45" s="22">
        <v>24917</v>
      </c>
      <c r="G45" s="6">
        <v>74751</v>
      </c>
    </row>
    <row r="46" spans="1:7" outlineLevel="2" x14ac:dyDescent="0.3">
      <c r="A46" s="1">
        <v>44</v>
      </c>
      <c r="B46" t="s">
        <v>476</v>
      </c>
      <c r="C46" t="s">
        <v>503</v>
      </c>
      <c r="D46" t="s">
        <v>504</v>
      </c>
      <c r="E46" t="s">
        <v>507</v>
      </c>
      <c r="F46" s="22">
        <v>27449</v>
      </c>
      <c r="G46" s="6">
        <v>68622.5</v>
      </c>
    </row>
    <row r="47" spans="1:7" outlineLevel="2" x14ac:dyDescent="0.3">
      <c r="A47" s="1">
        <v>45</v>
      </c>
      <c r="B47" t="s">
        <v>476</v>
      </c>
      <c r="C47" t="s">
        <v>503</v>
      </c>
      <c r="D47" t="s">
        <v>504</v>
      </c>
      <c r="E47" t="s">
        <v>508</v>
      </c>
      <c r="F47" s="22">
        <v>25770</v>
      </c>
      <c r="G47" s="6">
        <v>77310</v>
      </c>
    </row>
    <row r="48" spans="1:7" outlineLevel="2" x14ac:dyDescent="0.3">
      <c r="A48" s="1">
        <v>46</v>
      </c>
      <c r="B48" t="s">
        <v>476</v>
      </c>
      <c r="C48" t="s">
        <v>503</v>
      </c>
      <c r="D48" t="s">
        <v>509</v>
      </c>
      <c r="E48" t="s">
        <v>510</v>
      </c>
      <c r="F48" s="22">
        <v>27295</v>
      </c>
      <c r="G48" s="6">
        <v>68237.5</v>
      </c>
    </row>
    <row r="49" spans="1:7" outlineLevel="2" x14ac:dyDescent="0.3">
      <c r="A49" s="1">
        <v>47</v>
      </c>
      <c r="B49" t="s">
        <v>476</v>
      </c>
      <c r="C49" t="s">
        <v>503</v>
      </c>
      <c r="D49" t="s">
        <v>509</v>
      </c>
      <c r="E49" t="s">
        <v>511</v>
      </c>
      <c r="F49" s="22">
        <v>25483</v>
      </c>
      <c r="G49" s="6">
        <v>76449</v>
      </c>
    </row>
    <row r="50" spans="1:7" outlineLevel="2" x14ac:dyDescent="0.3">
      <c r="A50" s="1">
        <v>48</v>
      </c>
      <c r="B50" t="s">
        <v>476</v>
      </c>
      <c r="C50" t="s">
        <v>503</v>
      </c>
      <c r="D50" t="s">
        <v>512</v>
      </c>
      <c r="E50" t="s">
        <v>513</v>
      </c>
      <c r="F50" s="22">
        <v>25337</v>
      </c>
      <c r="G50" s="6">
        <v>63342.5</v>
      </c>
    </row>
    <row r="51" spans="1:7" outlineLevel="2" x14ac:dyDescent="0.3">
      <c r="A51" s="1">
        <v>49</v>
      </c>
      <c r="B51" t="s">
        <v>476</v>
      </c>
      <c r="C51" t="s">
        <v>503</v>
      </c>
      <c r="D51" t="s">
        <v>512</v>
      </c>
      <c r="E51" t="s">
        <v>514</v>
      </c>
      <c r="F51" s="22">
        <v>26032</v>
      </c>
      <c r="G51" s="6">
        <v>78096</v>
      </c>
    </row>
    <row r="52" spans="1:7" outlineLevel="2" x14ac:dyDescent="0.3">
      <c r="A52" s="1">
        <v>50</v>
      </c>
      <c r="B52" t="s">
        <v>476</v>
      </c>
      <c r="C52" t="s">
        <v>503</v>
      </c>
      <c r="D52" t="s">
        <v>512</v>
      </c>
      <c r="E52" t="s">
        <v>515</v>
      </c>
      <c r="F52" s="22">
        <v>28388</v>
      </c>
      <c r="G52" s="6">
        <v>70970</v>
      </c>
    </row>
    <row r="53" spans="1:7" outlineLevel="2" x14ac:dyDescent="0.3">
      <c r="A53" s="1">
        <v>51</v>
      </c>
      <c r="B53" t="s">
        <v>476</v>
      </c>
      <c r="C53" t="s">
        <v>503</v>
      </c>
      <c r="D53" t="s">
        <v>512</v>
      </c>
      <c r="E53" t="s">
        <v>516</v>
      </c>
      <c r="F53" s="22">
        <v>25817</v>
      </c>
      <c r="G53" s="6">
        <v>77451</v>
      </c>
    </row>
    <row r="54" spans="1:7" outlineLevel="2" x14ac:dyDescent="0.3">
      <c r="A54" s="1">
        <v>52</v>
      </c>
      <c r="B54" t="s">
        <v>476</v>
      </c>
      <c r="C54" t="s">
        <v>503</v>
      </c>
      <c r="D54" t="s">
        <v>517</v>
      </c>
      <c r="E54" t="s">
        <v>518</v>
      </c>
      <c r="F54" s="22">
        <v>27258</v>
      </c>
      <c r="G54" s="6">
        <v>68145</v>
      </c>
    </row>
    <row r="55" spans="1:7" outlineLevel="2" x14ac:dyDescent="0.3">
      <c r="A55" s="1">
        <v>53</v>
      </c>
      <c r="B55" t="s">
        <v>476</v>
      </c>
      <c r="C55" t="s">
        <v>503</v>
      </c>
      <c r="D55" t="s">
        <v>517</v>
      </c>
      <c r="E55" t="s">
        <v>519</v>
      </c>
      <c r="F55" s="22">
        <v>25572</v>
      </c>
      <c r="G55" s="6">
        <v>76716</v>
      </c>
    </row>
    <row r="56" spans="1:7" outlineLevel="2" x14ac:dyDescent="0.3">
      <c r="A56" s="1">
        <v>54</v>
      </c>
      <c r="B56" t="s">
        <v>476</v>
      </c>
      <c r="C56" t="s">
        <v>503</v>
      </c>
      <c r="D56" t="s">
        <v>517</v>
      </c>
      <c r="E56" t="s">
        <v>520</v>
      </c>
      <c r="F56" s="22">
        <v>27762</v>
      </c>
      <c r="G56" s="6">
        <v>69405</v>
      </c>
    </row>
    <row r="57" spans="1:7" outlineLevel="2" x14ac:dyDescent="0.3">
      <c r="A57" s="1">
        <v>55</v>
      </c>
      <c r="B57" t="s">
        <v>476</v>
      </c>
      <c r="C57" t="s">
        <v>503</v>
      </c>
      <c r="D57" t="s">
        <v>517</v>
      </c>
      <c r="E57" t="s">
        <v>521</v>
      </c>
      <c r="F57" s="22">
        <v>26937</v>
      </c>
      <c r="G57" s="6">
        <v>107748</v>
      </c>
    </row>
    <row r="58" spans="1:7" outlineLevel="2" x14ac:dyDescent="0.3">
      <c r="A58" s="1">
        <v>56</v>
      </c>
      <c r="B58" t="s">
        <v>476</v>
      </c>
      <c r="C58" t="s">
        <v>503</v>
      </c>
      <c r="D58" t="s">
        <v>517</v>
      </c>
      <c r="E58" t="s">
        <v>522</v>
      </c>
      <c r="F58" s="22">
        <v>25358</v>
      </c>
      <c r="G58" s="6">
        <v>64662.899999999994</v>
      </c>
    </row>
    <row r="59" spans="1:7" outlineLevel="2" x14ac:dyDescent="0.3">
      <c r="A59" s="1">
        <v>57</v>
      </c>
      <c r="B59" t="s">
        <v>476</v>
      </c>
      <c r="C59" t="s">
        <v>503</v>
      </c>
      <c r="D59" t="s">
        <v>517</v>
      </c>
      <c r="E59" t="s">
        <v>523</v>
      </c>
      <c r="F59" s="22">
        <v>26460</v>
      </c>
      <c r="G59" s="6">
        <v>82026</v>
      </c>
    </row>
    <row r="60" spans="1:7" outlineLevel="2" x14ac:dyDescent="0.3">
      <c r="A60" s="1">
        <v>58</v>
      </c>
      <c r="B60" t="s">
        <v>476</v>
      </c>
      <c r="C60" t="s">
        <v>471</v>
      </c>
      <c r="D60" t="s">
        <v>524</v>
      </c>
      <c r="E60" t="s">
        <v>525</v>
      </c>
      <c r="F60" s="22">
        <v>24346</v>
      </c>
      <c r="G60" s="6">
        <v>85211</v>
      </c>
    </row>
    <row r="61" spans="1:7" outlineLevel="2" x14ac:dyDescent="0.3">
      <c r="A61" s="1">
        <v>59</v>
      </c>
      <c r="B61" t="s">
        <v>476</v>
      </c>
      <c r="C61" t="s">
        <v>471</v>
      </c>
      <c r="D61" t="s">
        <v>524</v>
      </c>
      <c r="E61" t="s">
        <v>526</v>
      </c>
      <c r="F61" s="22">
        <v>28133</v>
      </c>
      <c r="G61" s="6">
        <v>126598.5</v>
      </c>
    </row>
    <row r="62" spans="1:7" outlineLevel="2" x14ac:dyDescent="0.3">
      <c r="A62" s="1">
        <v>60</v>
      </c>
      <c r="B62" t="s">
        <v>476</v>
      </c>
      <c r="C62" t="s">
        <v>471</v>
      </c>
      <c r="D62" t="s">
        <v>524</v>
      </c>
      <c r="E62" t="s">
        <v>527</v>
      </c>
      <c r="F62" s="22">
        <v>26410</v>
      </c>
      <c r="G62" s="6">
        <v>99037.5</v>
      </c>
    </row>
    <row r="63" spans="1:7" outlineLevel="2" x14ac:dyDescent="0.3">
      <c r="A63" s="1">
        <v>61</v>
      </c>
      <c r="B63" t="s">
        <v>476</v>
      </c>
      <c r="C63" t="s">
        <v>471</v>
      </c>
      <c r="D63" t="s">
        <v>524</v>
      </c>
      <c r="E63" t="s">
        <v>528</v>
      </c>
      <c r="F63" s="22">
        <v>27178</v>
      </c>
      <c r="G63" s="6">
        <v>129095.5</v>
      </c>
    </row>
    <row r="64" spans="1:7" outlineLevel="1" x14ac:dyDescent="0.3">
      <c r="B64" s="29" t="s">
        <v>656</v>
      </c>
      <c r="F64" s="22">
        <f>SUBTOTAL(9,F24:F63)</f>
        <v>1054424</v>
      </c>
      <c r="G64" s="6">
        <f>SUBTOTAL(9,G24:G63)</f>
        <v>3227721.9499999997</v>
      </c>
    </row>
    <row r="65" spans="1:7" outlineLevel="2" x14ac:dyDescent="0.3">
      <c r="A65" s="1">
        <v>63</v>
      </c>
      <c r="B65" t="s">
        <v>529</v>
      </c>
      <c r="C65" t="s">
        <v>530</v>
      </c>
      <c r="D65" t="s">
        <v>531</v>
      </c>
      <c r="E65" t="s">
        <v>532</v>
      </c>
      <c r="F65" s="22">
        <v>15458</v>
      </c>
      <c r="G65" s="6">
        <v>12366.400000000001</v>
      </c>
    </row>
    <row r="66" spans="1:7" outlineLevel="2" x14ac:dyDescent="0.3">
      <c r="A66" s="1">
        <v>64</v>
      </c>
      <c r="B66" t="s">
        <v>529</v>
      </c>
      <c r="C66" t="s">
        <v>530</v>
      </c>
      <c r="D66" t="s">
        <v>531</v>
      </c>
      <c r="E66" t="s">
        <v>533</v>
      </c>
      <c r="F66" s="22">
        <v>14552</v>
      </c>
      <c r="G66" s="6">
        <v>11641.6</v>
      </c>
    </row>
    <row r="67" spans="1:7" outlineLevel="2" x14ac:dyDescent="0.3">
      <c r="A67" s="1">
        <v>65</v>
      </c>
      <c r="B67" t="s">
        <v>529</v>
      </c>
      <c r="C67" t="s">
        <v>530</v>
      </c>
      <c r="D67" t="s">
        <v>534</v>
      </c>
      <c r="E67" t="s">
        <v>535</v>
      </c>
      <c r="F67" s="22">
        <v>17764</v>
      </c>
      <c r="G67" s="6">
        <v>14211.2</v>
      </c>
    </row>
    <row r="68" spans="1:7" outlineLevel="1" x14ac:dyDescent="0.3">
      <c r="B68" s="29" t="s">
        <v>657</v>
      </c>
      <c r="F68" s="22">
        <f>SUBTOTAL(9,F65:F67)</f>
        <v>47774</v>
      </c>
      <c r="G68" s="6">
        <f>SUBTOTAL(9,G65:G67)</f>
        <v>38219.199999999997</v>
      </c>
    </row>
    <row r="69" spans="1:7" outlineLevel="2" x14ac:dyDescent="0.3">
      <c r="A69" s="1">
        <v>69</v>
      </c>
      <c r="B69" t="s">
        <v>536</v>
      </c>
      <c r="C69" t="s">
        <v>537</v>
      </c>
      <c r="D69" t="s">
        <v>545</v>
      </c>
      <c r="E69" t="s">
        <v>547</v>
      </c>
      <c r="F69" s="22">
        <v>12290</v>
      </c>
      <c r="G69" s="6">
        <v>43015</v>
      </c>
    </row>
    <row r="70" spans="1:7" outlineLevel="2" x14ac:dyDescent="0.3">
      <c r="A70" s="1">
        <v>70</v>
      </c>
      <c r="B70" t="s">
        <v>536</v>
      </c>
      <c r="C70" t="s">
        <v>537</v>
      </c>
      <c r="D70" t="s">
        <v>540</v>
      </c>
      <c r="E70" t="s">
        <v>541</v>
      </c>
      <c r="F70" s="22">
        <v>12549</v>
      </c>
      <c r="G70" s="6">
        <v>40784.25</v>
      </c>
    </row>
    <row r="71" spans="1:7" outlineLevel="2" x14ac:dyDescent="0.3">
      <c r="A71" s="1">
        <v>71</v>
      </c>
      <c r="B71" t="s">
        <v>536</v>
      </c>
      <c r="C71" t="s">
        <v>537</v>
      </c>
      <c r="D71" t="s">
        <v>538</v>
      </c>
      <c r="E71" t="s">
        <v>542</v>
      </c>
      <c r="F71" s="22">
        <v>19213</v>
      </c>
      <c r="G71" s="6">
        <v>72048.75</v>
      </c>
    </row>
    <row r="72" spans="1:7" outlineLevel="2" x14ac:dyDescent="0.3">
      <c r="A72" s="1">
        <v>72</v>
      </c>
      <c r="B72" t="s">
        <v>536</v>
      </c>
      <c r="C72" t="s">
        <v>537</v>
      </c>
      <c r="D72" t="s">
        <v>540</v>
      </c>
      <c r="E72" t="s">
        <v>543</v>
      </c>
      <c r="F72" s="22">
        <v>15845</v>
      </c>
      <c r="G72" s="6">
        <v>51496.25</v>
      </c>
    </row>
    <row r="73" spans="1:7" outlineLevel="2" x14ac:dyDescent="0.3">
      <c r="A73" s="1">
        <v>73</v>
      </c>
      <c r="B73" t="s">
        <v>536</v>
      </c>
      <c r="C73" t="s">
        <v>537</v>
      </c>
      <c r="D73" t="s">
        <v>538</v>
      </c>
      <c r="E73" t="s">
        <v>544</v>
      </c>
      <c r="F73" s="22">
        <v>11753</v>
      </c>
      <c r="G73" s="6">
        <v>44073.75</v>
      </c>
    </row>
    <row r="74" spans="1:7" outlineLevel="2" x14ac:dyDescent="0.3">
      <c r="A74" s="1">
        <v>74</v>
      </c>
      <c r="B74" t="s">
        <v>536</v>
      </c>
      <c r="C74" t="s">
        <v>537</v>
      </c>
      <c r="D74" t="s">
        <v>545</v>
      </c>
      <c r="E74" t="s">
        <v>546</v>
      </c>
      <c r="F74" s="22">
        <v>11007</v>
      </c>
      <c r="G74" s="6">
        <v>38524.5</v>
      </c>
    </row>
    <row r="75" spans="1:7" outlineLevel="2" x14ac:dyDescent="0.3">
      <c r="A75" s="1">
        <v>75</v>
      </c>
      <c r="B75" t="s">
        <v>536</v>
      </c>
      <c r="C75" t="s">
        <v>537</v>
      </c>
      <c r="D75" t="s">
        <v>538</v>
      </c>
      <c r="E75" t="s">
        <v>539</v>
      </c>
      <c r="F75" s="22">
        <v>11837</v>
      </c>
      <c r="G75" s="6">
        <v>38470.25</v>
      </c>
    </row>
    <row r="76" spans="1:7" outlineLevel="2" x14ac:dyDescent="0.3">
      <c r="A76" s="1">
        <v>76</v>
      </c>
      <c r="B76" t="s">
        <v>536</v>
      </c>
      <c r="C76" t="s">
        <v>537</v>
      </c>
      <c r="D76" t="s">
        <v>545</v>
      </c>
      <c r="E76" t="s">
        <v>548</v>
      </c>
      <c r="F76" s="22">
        <v>11571</v>
      </c>
      <c r="G76" s="6">
        <v>40498.5</v>
      </c>
    </row>
    <row r="77" spans="1:7" outlineLevel="2" x14ac:dyDescent="0.3">
      <c r="A77" s="1">
        <v>77</v>
      </c>
      <c r="B77" t="s">
        <v>536</v>
      </c>
      <c r="C77" t="s">
        <v>537</v>
      </c>
      <c r="D77" t="s">
        <v>540</v>
      </c>
      <c r="E77" t="s">
        <v>549</v>
      </c>
      <c r="F77" s="22">
        <v>11065</v>
      </c>
      <c r="G77" s="6">
        <v>33195</v>
      </c>
    </row>
    <row r="78" spans="1:7" outlineLevel="2" x14ac:dyDescent="0.3">
      <c r="A78" s="1">
        <v>78</v>
      </c>
      <c r="B78" t="s">
        <v>536</v>
      </c>
      <c r="C78" t="s">
        <v>537</v>
      </c>
      <c r="D78" t="s">
        <v>540</v>
      </c>
      <c r="E78" t="s">
        <v>550</v>
      </c>
      <c r="F78" s="22">
        <v>11837</v>
      </c>
      <c r="G78" s="6">
        <v>53266.5</v>
      </c>
    </row>
    <row r="79" spans="1:7" outlineLevel="2" x14ac:dyDescent="0.3">
      <c r="A79" s="1">
        <v>79</v>
      </c>
      <c r="B79" t="s">
        <v>536</v>
      </c>
      <c r="C79" t="s">
        <v>537</v>
      </c>
      <c r="D79" t="s">
        <v>540</v>
      </c>
      <c r="E79" t="s">
        <v>551</v>
      </c>
      <c r="F79" s="22">
        <v>12466</v>
      </c>
      <c r="G79" s="6">
        <v>46747.5</v>
      </c>
    </row>
    <row r="80" spans="1:7" outlineLevel="1" x14ac:dyDescent="0.3">
      <c r="B80" s="29" t="s">
        <v>658</v>
      </c>
      <c r="F80" s="22">
        <f>SUBTOTAL(9,F69:F79)</f>
        <v>141433</v>
      </c>
      <c r="G80" s="6">
        <f>SUBTOTAL(9,G69:G79)</f>
        <v>502120.25</v>
      </c>
    </row>
    <row r="81" spans="1:7" outlineLevel="2" x14ac:dyDescent="0.3">
      <c r="A81" s="1">
        <v>81</v>
      </c>
      <c r="B81" t="s">
        <v>552</v>
      </c>
      <c r="C81" t="s">
        <v>553</v>
      </c>
      <c r="D81" t="s">
        <v>554</v>
      </c>
      <c r="E81" t="s">
        <v>555</v>
      </c>
      <c r="F81" s="22">
        <v>1429</v>
      </c>
      <c r="G81" s="6">
        <v>40012</v>
      </c>
    </row>
    <row r="82" spans="1:7" outlineLevel="2" x14ac:dyDescent="0.3">
      <c r="A82" s="1">
        <v>82</v>
      </c>
      <c r="B82" t="s">
        <v>552</v>
      </c>
      <c r="C82" t="s">
        <v>553</v>
      </c>
      <c r="D82" t="s">
        <v>556</v>
      </c>
      <c r="E82" t="s">
        <v>557</v>
      </c>
      <c r="F82" s="22">
        <v>1385</v>
      </c>
      <c r="G82" s="6">
        <v>16620</v>
      </c>
    </row>
    <row r="83" spans="1:7" outlineLevel="2" x14ac:dyDescent="0.3">
      <c r="A83" s="1">
        <v>83</v>
      </c>
      <c r="B83" t="s">
        <v>552</v>
      </c>
      <c r="C83" t="s">
        <v>553</v>
      </c>
      <c r="D83" t="s">
        <v>556</v>
      </c>
      <c r="E83" t="s">
        <v>558</v>
      </c>
      <c r="F83" s="22">
        <v>1883</v>
      </c>
      <c r="G83" s="6">
        <v>26362</v>
      </c>
    </row>
    <row r="84" spans="1:7" outlineLevel="1" x14ac:dyDescent="0.3">
      <c r="B84" s="29" t="s">
        <v>659</v>
      </c>
      <c r="F84" s="22">
        <f>SUBTOTAL(9,F81:F83)</f>
        <v>4697</v>
      </c>
      <c r="G84" s="6">
        <f>SUBTOTAL(9,G81:G83)</f>
        <v>82994</v>
      </c>
    </row>
    <row r="85" spans="1:7" outlineLevel="2" x14ac:dyDescent="0.3">
      <c r="A85" s="1">
        <v>84</v>
      </c>
      <c r="B85" t="s">
        <v>529</v>
      </c>
      <c r="C85" t="s">
        <v>530</v>
      </c>
      <c r="D85" t="s">
        <v>531</v>
      </c>
      <c r="E85" t="s">
        <v>559</v>
      </c>
      <c r="F85" s="22">
        <v>16051</v>
      </c>
      <c r="G85" s="6">
        <v>12840.800000000001</v>
      </c>
    </row>
    <row r="86" spans="1:7" outlineLevel="1" x14ac:dyDescent="0.3">
      <c r="B86" s="29" t="s">
        <v>657</v>
      </c>
      <c r="F86" s="22">
        <f>SUBTOTAL(9,F85:F85)</f>
        <v>16051</v>
      </c>
      <c r="G86" s="6">
        <f>SUBTOTAL(9,G85:G85)</f>
        <v>12840.800000000001</v>
      </c>
    </row>
    <row r="87" spans="1:7" outlineLevel="2" x14ac:dyDescent="0.3">
      <c r="A87" s="1">
        <v>87</v>
      </c>
      <c r="B87" t="s">
        <v>476</v>
      </c>
      <c r="C87" t="s">
        <v>477</v>
      </c>
      <c r="D87" t="s">
        <v>497</v>
      </c>
      <c r="E87" t="s">
        <v>560</v>
      </c>
      <c r="F87" s="22">
        <v>19967</v>
      </c>
      <c r="G87" s="6">
        <v>59901</v>
      </c>
    </row>
    <row r="88" spans="1:7" outlineLevel="1" x14ac:dyDescent="0.3">
      <c r="B88" s="29" t="s">
        <v>656</v>
      </c>
      <c r="F88" s="22">
        <f>SUBTOTAL(9,F87:F87)</f>
        <v>19967</v>
      </c>
      <c r="G88" s="6">
        <f>SUBTOTAL(9,G87:G87)</f>
        <v>59901</v>
      </c>
    </row>
    <row r="89" spans="1:7" x14ac:dyDescent="0.3">
      <c r="B89" s="29" t="s">
        <v>28</v>
      </c>
      <c r="F89" s="22">
        <f>SUBTOTAL(9,F2:F87)</f>
        <v>1305637</v>
      </c>
      <c r="G89" s="6">
        <f>SUBTOTAL(9,G2:G87)</f>
        <v>4257919.21</v>
      </c>
    </row>
  </sheetData>
  <autoFilter ref="A1:G87" xr:uid="{0D962FA6-A43E-4BC1-A885-4E0ED716CD08}"/>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A94C2-5FFA-4B73-A28D-7C0D2680E060}">
  <sheetPr>
    <tabColor theme="8" tint="0.59999389629810485"/>
  </sheetPr>
  <dimension ref="A1:K26"/>
  <sheetViews>
    <sheetView workbookViewId="0">
      <selection activeCell="M18" sqref="M18"/>
    </sheetView>
  </sheetViews>
  <sheetFormatPr defaultRowHeight="14.4" x14ac:dyDescent="0.3"/>
  <cols>
    <col min="1" max="1" width="16.6640625" bestFit="1" customWidth="1"/>
    <col min="7" max="7" width="16.6640625" bestFit="1" customWidth="1"/>
  </cols>
  <sheetData>
    <row r="1" spans="1:11" x14ac:dyDescent="0.3">
      <c r="A1" s="48" t="s">
        <v>574</v>
      </c>
      <c r="B1" s="48"/>
      <c r="C1" s="48"/>
      <c r="D1" s="48"/>
      <c r="E1" s="48"/>
      <c r="G1" s="48" t="s">
        <v>577</v>
      </c>
      <c r="H1" s="48"/>
      <c r="I1" s="48"/>
      <c r="J1" s="48"/>
      <c r="K1" s="48"/>
    </row>
    <row r="2" spans="1:11" x14ac:dyDescent="0.3">
      <c r="A2" s="28" t="s">
        <v>561</v>
      </c>
      <c r="B2" s="28" t="s">
        <v>570</v>
      </c>
      <c r="C2" s="28" t="s">
        <v>571</v>
      </c>
      <c r="D2" s="28" t="s">
        <v>572</v>
      </c>
      <c r="E2" s="28" t="s">
        <v>573</v>
      </c>
      <c r="G2" s="28" t="s">
        <v>561</v>
      </c>
      <c r="H2" s="28" t="s">
        <v>570</v>
      </c>
      <c r="I2" s="28" t="s">
        <v>571</v>
      </c>
      <c r="J2" s="28" t="s">
        <v>572</v>
      </c>
      <c r="K2" s="28" t="s">
        <v>573</v>
      </c>
    </row>
    <row r="3" spans="1:11" x14ac:dyDescent="0.3">
      <c r="A3" t="s">
        <v>476</v>
      </c>
      <c r="B3" s="6">
        <v>108110.89999999804</v>
      </c>
      <c r="C3" s="6">
        <v>131578.29999999728</v>
      </c>
      <c r="D3" s="6">
        <v>126159.04999999776</v>
      </c>
      <c r="E3" s="6">
        <v>140993.24999999837</v>
      </c>
      <c r="G3" t="s">
        <v>561</v>
      </c>
      <c r="H3" s="6"/>
      <c r="I3" s="6"/>
      <c r="J3" s="6"/>
      <c r="K3" s="6"/>
    </row>
    <row r="4" spans="1:11" x14ac:dyDescent="0.3">
      <c r="A4" t="s">
        <v>536</v>
      </c>
      <c r="B4" s="6">
        <v>15699.75</v>
      </c>
      <c r="C4" s="6">
        <v>19002.75</v>
      </c>
      <c r="D4" s="6">
        <v>18172.5</v>
      </c>
      <c r="E4" s="6">
        <v>20247.5</v>
      </c>
      <c r="G4" t="s">
        <v>476</v>
      </c>
      <c r="H4" s="6">
        <v>316404.04999999539</v>
      </c>
      <c r="I4" s="6">
        <v>383907.29999999312</v>
      </c>
      <c r="J4" s="6">
        <v>367838.74999999383</v>
      </c>
      <c r="K4" s="6">
        <v>412387.64999999519</v>
      </c>
    </row>
    <row r="5" spans="1:11" x14ac:dyDescent="0.3">
      <c r="A5" t="s">
        <v>440</v>
      </c>
      <c r="B5" s="6">
        <v>8926.5299999999916</v>
      </c>
      <c r="C5" s="6">
        <v>10767.760000000022</v>
      </c>
      <c r="D5" s="6">
        <v>10171.400000000014</v>
      </c>
      <c r="E5" s="6">
        <v>11000.110000000022</v>
      </c>
      <c r="G5" t="s">
        <v>536</v>
      </c>
      <c r="H5" s="6">
        <v>48326.939999999944</v>
      </c>
      <c r="I5" s="6">
        <v>58639.839999999982</v>
      </c>
      <c r="J5" s="6">
        <v>56064.759999999973</v>
      </c>
      <c r="K5" s="6">
        <v>62821.579999999987</v>
      </c>
    </row>
    <row r="6" spans="1:11" x14ac:dyDescent="0.3">
      <c r="A6" t="s">
        <v>552</v>
      </c>
      <c r="B6" s="6">
        <v>3248</v>
      </c>
      <c r="C6" s="6">
        <v>3829</v>
      </c>
      <c r="D6" s="6">
        <v>3779</v>
      </c>
      <c r="E6" s="6">
        <v>4371</v>
      </c>
      <c r="G6" t="s">
        <v>440</v>
      </c>
      <c r="H6" s="6">
        <v>31288.050000000039</v>
      </c>
      <c r="I6" s="6">
        <v>38990.320000000153</v>
      </c>
      <c r="J6" s="6">
        <v>37774.970000000132</v>
      </c>
      <c r="K6" s="6">
        <v>41339.94000000017</v>
      </c>
    </row>
    <row r="7" spans="1:11" x14ac:dyDescent="0.3">
      <c r="A7" s="8" t="s">
        <v>529</v>
      </c>
      <c r="B7" s="34">
        <v>1075.199999999996</v>
      </c>
      <c r="C7" s="34">
        <v>1259.1999999999848</v>
      </c>
      <c r="D7" s="34">
        <v>1220.7999999999877</v>
      </c>
      <c r="E7" s="34">
        <v>1395.999999999977</v>
      </c>
      <c r="G7" s="8" t="s">
        <v>552</v>
      </c>
      <c r="H7" s="34">
        <v>7794</v>
      </c>
      <c r="I7" s="34">
        <v>9869</v>
      </c>
      <c r="J7" s="34">
        <v>9213</v>
      </c>
      <c r="K7" s="34">
        <v>10827</v>
      </c>
    </row>
    <row r="8" spans="1:11" x14ac:dyDescent="0.3">
      <c r="A8" s="29" t="s">
        <v>28</v>
      </c>
      <c r="B8" s="33">
        <v>137060.37999999803</v>
      </c>
      <c r="C8" s="33">
        <v>166437.00999999727</v>
      </c>
      <c r="D8" s="33">
        <v>159502.74999999779</v>
      </c>
      <c r="E8" s="33">
        <v>178007.85999999836</v>
      </c>
      <c r="G8" s="29" t="s">
        <v>529</v>
      </c>
      <c r="H8" s="33">
        <v>4977.5999999999131</v>
      </c>
      <c r="I8" s="33">
        <v>5980.7999999998974</v>
      </c>
      <c r="J8" s="33">
        <v>5686.3999999998996</v>
      </c>
      <c r="K8" s="33">
        <v>6412.799999999891</v>
      </c>
    </row>
    <row r="9" spans="1:11" x14ac:dyDescent="0.3">
      <c r="G9" t="s">
        <v>28</v>
      </c>
      <c r="H9" s="6">
        <v>408790.63999999524</v>
      </c>
      <c r="I9" s="6">
        <v>497387.25999999314</v>
      </c>
      <c r="J9" s="6">
        <v>476577.87999999389</v>
      </c>
      <c r="K9" s="6">
        <v>533788.96999999532</v>
      </c>
    </row>
    <row r="10" spans="1:11" x14ac:dyDescent="0.3">
      <c r="A10" s="48" t="s">
        <v>575</v>
      </c>
      <c r="B10" s="48"/>
      <c r="C10" s="48"/>
      <c r="D10" s="48"/>
      <c r="E10" s="48"/>
    </row>
    <row r="11" spans="1:11" x14ac:dyDescent="0.3">
      <c r="A11" s="28" t="s">
        <v>561</v>
      </c>
      <c r="B11" s="28" t="s">
        <v>570</v>
      </c>
      <c r="C11" s="28" t="s">
        <v>571</v>
      </c>
      <c r="D11" s="28" t="s">
        <v>572</v>
      </c>
      <c r="E11" s="28" t="s">
        <v>573</v>
      </c>
    </row>
    <row r="12" spans="1:11" x14ac:dyDescent="0.3">
      <c r="A12" t="s">
        <v>476</v>
      </c>
      <c r="B12" s="6">
        <v>104200.19999999882</v>
      </c>
      <c r="C12" s="6">
        <v>125505.04999999799</v>
      </c>
      <c r="D12" s="6">
        <v>121090.94999999799</v>
      </c>
      <c r="E12" s="6">
        <v>134841.14999999831</v>
      </c>
    </row>
    <row r="13" spans="1:11" x14ac:dyDescent="0.3">
      <c r="A13" t="s">
        <v>536</v>
      </c>
      <c r="B13" s="6">
        <v>16615.78999999995</v>
      </c>
      <c r="C13" s="6">
        <v>20265.939999999984</v>
      </c>
      <c r="D13" s="6">
        <v>19442.159999999974</v>
      </c>
      <c r="E13" s="6">
        <v>21688.62999999999</v>
      </c>
    </row>
    <row r="14" spans="1:11" x14ac:dyDescent="0.3">
      <c r="A14" t="s">
        <v>440</v>
      </c>
      <c r="B14" s="6">
        <v>9852.7400000000052</v>
      </c>
      <c r="C14" s="6">
        <v>11884.090000000035</v>
      </c>
      <c r="D14" s="6">
        <v>11037.100000000024</v>
      </c>
      <c r="E14" s="6">
        <v>12762.770000000037</v>
      </c>
    </row>
    <row r="15" spans="1:11" x14ac:dyDescent="0.3">
      <c r="A15" t="s">
        <v>552</v>
      </c>
      <c r="B15" s="6">
        <v>3640</v>
      </c>
      <c r="C15" s="6">
        <v>4718</v>
      </c>
      <c r="D15" s="6">
        <v>4484</v>
      </c>
      <c r="E15" s="6">
        <v>4986</v>
      </c>
    </row>
    <row r="16" spans="1:11" x14ac:dyDescent="0.3">
      <c r="A16" s="8" t="s">
        <v>529</v>
      </c>
      <c r="B16" s="34">
        <v>2271.9999999999527</v>
      </c>
      <c r="C16" s="34">
        <v>2735.1999999999684</v>
      </c>
      <c r="D16" s="34">
        <v>2592.7999999999597</v>
      </c>
      <c r="E16" s="34">
        <v>2907.9999999999723</v>
      </c>
    </row>
    <row r="17" spans="1:5" x14ac:dyDescent="0.3">
      <c r="A17" s="29" t="s">
        <v>28</v>
      </c>
      <c r="B17" s="33">
        <v>136580.72999999873</v>
      </c>
      <c r="C17" s="33">
        <v>165108.27999999796</v>
      </c>
      <c r="D17" s="33">
        <v>158647.00999999797</v>
      </c>
      <c r="E17" s="33">
        <v>177186.54999999833</v>
      </c>
    </row>
    <row r="19" spans="1:5" x14ac:dyDescent="0.3">
      <c r="A19" s="48" t="s">
        <v>576</v>
      </c>
      <c r="B19" s="48"/>
      <c r="C19" s="48"/>
      <c r="D19" s="48"/>
      <c r="E19" s="48"/>
    </row>
    <row r="20" spans="1:5" x14ac:dyDescent="0.3">
      <c r="A20" s="28" t="s">
        <v>561</v>
      </c>
      <c r="B20" s="28" t="s">
        <v>570</v>
      </c>
      <c r="C20" s="28" t="s">
        <v>571</v>
      </c>
      <c r="D20" s="28" t="s">
        <v>572</v>
      </c>
      <c r="E20" s="28" t="s">
        <v>573</v>
      </c>
    </row>
    <row r="21" spans="1:5" x14ac:dyDescent="0.3">
      <c r="A21" t="s">
        <v>476</v>
      </c>
      <c r="B21" s="6">
        <v>104092.94999999853</v>
      </c>
      <c r="C21" s="6">
        <v>126823.94999999786</v>
      </c>
      <c r="D21" s="6">
        <v>120588.74999999809</v>
      </c>
      <c r="E21" s="6">
        <v>136553.24999999854</v>
      </c>
    </row>
    <row r="22" spans="1:5" x14ac:dyDescent="0.3">
      <c r="A22" t="s">
        <v>536</v>
      </c>
      <c r="B22" s="6">
        <v>16011.399999999998</v>
      </c>
      <c r="C22" s="6">
        <v>19371.149999999994</v>
      </c>
      <c r="D22" s="6">
        <v>18450.099999999999</v>
      </c>
      <c r="E22" s="6">
        <v>20885.449999999997</v>
      </c>
    </row>
    <row r="23" spans="1:5" x14ac:dyDescent="0.3">
      <c r="A23" t="s">
        <v>440</v>
      </c>
      <c r="B23" s="6">
        <v>12508.780000000042</v>
      </c>
      <c r="C23" s="6">
        <v>16338.470000000099</v>
      </c>
      <c r="D23" s="6">
        <v>16566.470000000099</v>
      </c>
      <c r="E23" s="6">
        <v>17577.06000000011</v>
      </c>
    </row>
    <row r="24" spans="1:5" x14ac:dyDescent="0.3">
      <c r="A24" t="s">
        <v>529</v>
      </c>
      <c r="B24" s="6">
        <v>1630.3999999999637</v>
      </c>
      <c r="C24" s="6">
        <v>1986.3999999999446</v>
      </c>
      <c r="D24" s="6">
        <v>1872.7999999999518</v>
      </c>
      <c r="E24" s="6">
        <v>2108.799999999942</v>
      </c>
    </row>
    <row r="25" spans="1:5" x14ac:dyDescent="0.3">
      <c r="A25" s="8" t="s">
        <v>552</v>
      </c>
      <c r="B25" s="34">
        <v>906</v>
      </c>
      <c r="C25" s="34">
        <v>1322</v>
      </c>
      <c r="D25" s="34">
        <v>950</v>
      </c>
      <c r="E25" s="34">
        <v>1470</v>
      </c>
    </row>
    <row r="26" spans="1:5" x14ac:dyDescent="0.3">
      <c r="A26" s="29" t="s">
        <v>28</v>
      </c>
      <c r="B26" s="33">
        <v>135149.52999999851</v>
      </c>
      <c r="C26" s="33">
        <v>165841.96999999788</v>
      </c>
      <c r="D26" s="33">
        <v>158428.11999999813</v>
      </c>
      <c r="E26" s="33">
        <v>178594.5599999986</v>
      </c>
    </row>
  </sheetData>
  <dataConsolidate>
    <dataRefs count="3">
      <dataRef ref="A2:E8" sheet="Sales by Store"/>
      <dataRef ref="A11:E17" sheet="Sales by Store"/>
      <dataRef ref="A20:E26" sheet="Sales by Store"/>
    </dataRefs>
  </dataConsolidate>
  <mergeCells count="4">
    <mergeCell ref="A1:E1"/>
    <mergeCell ref="A10:E10"/>
    <mergeCell ref="A19:E19"/>
    <mergeCell ref="G1:K1"/>
  </mergeCells>
  <phoneticPr fontId="2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F85DF-0F30-4F67-A9FC-AA9BA07ED29A}">
  <sheetPr>
    <tabColor theme="8" tint="0.59999389629810485"/>
  </sheetPr>
  <dimension ref="A1:B8"/>
  <sheetViews>
    <sheetView showGridLines="0" workbookViewId="0">
      <selection activeCell="B6" sqref="B6"/>
    </sheetView>
  </sheetViews>
  <sheetFormatPr defaultRowHeight="14.4" x14ac:dyDescent="0.3"/>
  <cols>
    <col min="1" max="1" width="14.33203125" bestFit="1" customWidth="1"/>
    <col min="2" max="2" width="14.33203125" customWidth="1"/>
  </cols>
  <sheetData>
    <row r="1" spans="1:2" ht="15" thickBot="1" x14ac:dyDescent="0.35">
      <c r="A1" s="49" t="s">
        <v>567</v>
      </c>
      <c r="B1" s="49"/>
    </row>
    <row r="2" spans="1:2" ht="15" thickBot="1" x14ac:dyDescent="0.35">
      <c r="A2" s="4" t="s">
        <v>566</v>
      </c>
      <c r="B2" s="32">
        <v>250</v>
      </c>
    </row>
    <row r="3" spans="1:2" ht="15" thickBot="1" x14ac:dyDescent="0.35">
      <c r="A3" s="4" t="s">
        <v>568</v>
      </c>
      <c r="B3" s="31">
        <v>16.5</v>
      </c>
    </row>
    <row r="4" spans="1:2" ht="15" thickBot="1" x14ac:dyDescent="0.35">
      <c r="A4" s="4" t="s">
        <v>44</v>
      </c>
      <c r="B4" s="31">
        <v>22</v>
      </c>
    </row>
    <row r="5" spans="1:2" ht="3.75" customHeight="1" x14ac:dyDescent="0.3">
      <c r="A5" s="4"/>
      <c r="B5" s="4"/>
    </row>
    <row r="6" spans="1:2" x14ac:dyDescent="0.3">
      <c r="A6" s="9" t="s">
        <v>578</v>
      </c>
      <c r="B6" s="4">
        <v>590.90909090909088</v>
      </c>
    </row>
    <row r="7" spans="1:2" ht="3.75" customHeight="1" thickBot="1" x14ac:dyDescent="0.35">
      <c r="A7" s="4"/>
      <c r="B7" s="4"/>
    </row>
    <row r="8" spans="1:2" ht="30" customHeight="1" thickBot="1" x14ac:dyDescent="0.35">
      <c r="A8" s="30" t="s">
        <v>569</v>
      </c>
      <c r="B8" s="43">
        <f>IFERROR((B4-B3)*B6-B2,"")</f>
        <v>3000</v>
      </c>
    </row>
  </sheetData>
  <mergeCells count="1">
    <mergeCell ref="A1:B1"/>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C1D7B-7BA5-4021-8B69-C3E3D3ADE824}">
  <sheetPr>
    <tabColor rgb="FFD00000"/>
  </sheetPr>
  <dimension ref="A1"/>
  <sheetViews>
    <sheetView showGridLines="0" workbookViewId="0"/>
  </sheetViews>
  <sheetFormatPr defaultRowHeight="14.4" x14ac:dyDescent="0.3"/>
  <cols>
    <col min="1" max="1" width="2.88671875" customWidth="1"/>
  </cols>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A8748-30E8-46B2-8E23-A9FC6381DB6D}">
  <sheetPr>
    <tabColor rgb="FFFF9999"/>
  </sheetPr>
  <dimension ref="A1:F230"/>
  <sheetViews>
    <sheetView workbookViewId="0">
      <selection activeCell="I5" sqref="I5"/>
    </sheetView>
  </sheetViews>
  <sheetFormatPr defaultRowHeight="14.4" x14ac:dyDescent="0.3"/>
  <cols>
    <col min="1" max="1" width="11.88671875" bestFit="1" customWidth="1"/>
    <col min="3" max="3" width="14.6640625" bestFit="1" customWidth="1"/>
    <col min="4" max="4" width="50.5546875" bestFit="1" customWidth="1"/>
    <col min="5" max="5" width="14.6640625" bestFit="1" customWidth="1"/>
    <col min="6" max="6" width="18.88671875" bestFit="1" customWidth="1"/>
  </cols>
  <sheetData>
    <row r="1" spans="1:6" ht="18" x14ac:dyDescent="0.35">
      <c r="A1" s="50" t="s">
        <v>626</v>
      </c>
      <c r="B1" s="50"/>
      <c r="C1" s="50"/>
      <c r="D1" s="50"/>
      <c r="E1" s="50"/>
      <c r="F1" s="50"/>
    </row>
    <row r="2" spans="1:6" x14ac:dyDescent="0.3">
      <c r="A2" s="36" t="s">
        <v>579</v>
      </c>
      <c r="B2" s="36" t="s">
        <v>580</v>
      </c>
      <c r="C2" s="36" t="s">
        <v>581</v>
      </c>
      <c r="D2" s="36" t="s">
        <v>583</v>
      </c>
      <c r="E2" s="36" t="s">
        <v>584</v>
      </c>
      <c r="F2" s="36" t="s">
        <v>582</v>
      </c>
    </row>
    <row r="3" spans="1:6" x14ac:dyDescent="0.3">
      <c r="A3" s="2">
        <v>43832</v>
      </c>
      <c r="B3" s="41">
        <v>0.76041666666666663</v>
      </c>
      <c r="C3" t="s">
        <v>649</v>
      </c>
      <c r="D3" t="s">
        <v>588</v>
      </c>
      <c r="E3" t="s">
        <v>601</v>
      </c>
      <c r="F3" s="1">
        <v>0</v>
      </c>
    </row>
    <row r="4" spans="1:6" x14ac:dyDescent="0.3">
      <c r="A4" s="2">
        <v>43833</v>
      </c>
      <c r="B4" s="41">
        <v>0.47222222222222227</v>
      </c>
      <c r="C4" t="s">
        <v>650</v>
      </c>
      <c r="D4" t="s">
        <v>588</v>
      </c>
      <c r="E4" t="s">
        <v>586</v>
      </c>
      <c r="F4" s="1">
        <v>0</v>
      </c>
    </row>
    <row r="5" spans="1:6" x14ac:dyDescent="0.3">
      <c r="A5" s="2">
        <v>43833</v>
      </c>
      <c r="B5" s="41">
        <v>0.54166666666666663</v>
      </c>
      <c r="C5" t="s">
        <v>651</v>
      </c>
      <c r="D5" t="s">
        <v>590</v>
      </c>
      <c r="E5" t="s">
        <v>591</v>
      </c>
      <c r="F5" s="1">
        <v>1</v>
      </c>
    </row>
    <row r="6" spans="1:6" x14ac:dyDescent="0.3">
      <c r="A6" s="2">
        <v>43834</v>
      </c>
      <c r="B6" s="41">
        <v>0.20486111111111113</v>
      </c>
      <c r="C6" t="s">
        <v>652</v>
      </c>
      <c r="D6" t="s">
        <v>597</v>
      </c>
      <c r="E6" t="s">
        <v>618</v>
      </c>
      <c r="F6" s="1">
        <v>0</v>
      </c>
    </row>
    <row r="7" spans="1:6" x14ac:dyDescent="0.3">
      <c r="A7" s="2">
        <v>43834</v>
      </c>
      <c r="B7" s="41">
        <v>0.46319444444444446</v>
      </c>
      <c r="C7" t="s">
        <v>650</v>
      </c>
      <c r="D7" t="s">
        <v>602</v>
      </c>
      <c r="E7" t="s">
        <v>624</v>
      </c>
      <c r="F7" s="1">
        <v>0</v>
      </c>
    </row>
    <row r="8" spans="1:6" x14ac:dyDescent="0.3">
      <c r="A8" s="2">
        <v>43835</v>
      </c>
      <c r="B8" s="41">
        <v>0.40208333333333335</v>
      </c>
      <c r="C8" t="s">
        <v>650</v>
      </c>
      <c r="D8" t="s">
        <v>587</v>
      </c>
      <c r="E8" t="s">
        <v>586</v>
      </c>
      <c r="F8" s="1">
        <v>0</v>
      </c>
    </row>
    <row r="9" spans="1:6" x14ac:dyDescent="0.3">
      <c r="A9" s="2">
        <v>43835</v>
      </c>
      <c r="B9" s="41">
        <v>0.65277777777777779</v>
      </c>
      <c r="C9" t="s">
        <v>650</v>
      </c>
      <c r="D9" t="s">
        <v>588</v>
      </c>
      <c r="E9" t="s">
        <v>618</v>
      </c>
      <c r="F9" s="1">
        <v>0</v>
      </c>
    </row>
    <row r="10" spans="1:6" x14ac:dyDescent="0.3">
      <c r="A10" s="2">
        <v>43836</v>
      </c>
      <c r="B10" s="41">
        <v>0.44097222222222227</v>
      </c>
      <c r="C10" t="s">
        <v>650</v>
      </c>
      <c r="D10" t="s">
        <v>587</v>
      </c>
      <c r="E10" t="s">
        <v>586</v>
      </c>
      <c r="F10" s="1">
        <v>0</v>
      </c>
    </row>
    <row r="11" spans="1:6" x14ac:dyDescent="0.3">
      <c r="A11" s="2">
        <v>43837</v>
      </c>
      <c r="B11" s="41">
        <v>0.69097222222222221</v>
      </c>
      <c r="C11" t="s">
        <v>650</v>
      </c>
      <c r="D11" t="s">
        <v>617</v>
      </c>
      <c r="E11" t="s">
        <v>623</v>
      </c>
      <c r="F11" s="1">
        <v>0</v>
      </c>
    </row>
    <row r="12" spans="1:6" x14ac:dyDescent="0.3">
      <c r="A12" s="2">
        <v>43838</v>
      </c>
      <c r="B12" s="41">
        <v>0.47222222222222227</v>
      </c>
      <c r="C12" t="s">
        <v>650</v>
      </c>
      <c r="D12" t="s">
        <v>587</v>
      </c>
      <c r="E12" t="s">
        <v>618</v>
      </c>
      <c r="F12" s="1">
        <v>0</v>
      </c>
    </row>
    <row r="13" spans="1:6" x14ac:dyDescent="0.3">
      <c r="A13" s="2">
        <v>43839</v>
      </c>
      <c r="B13" s="41">
        <v>0.43402777777777773</v>
      </c>
      <c r="C13" t="s">
        <v>650</v>
      </c>
      <c r="D13" t="s">
        <v>604</v>
      </c>
      <c r="E13" t="s">
        <v>618</v>
      </c>
      <c r="F13" s="1">
        <v>0</v>
      </c>
    </row>
    <row r="14" spans="1:6" x14ac:dyDescent="0.3">
      <c r="A14" s="2">
        <v>43839</v>
      </c>
      <c r="B14" s="41">
        <v>0.4375</v>
      </c>
      <c r="C14" t="s">
        <v>650</v>
      </c>
      <c r="D14" t="s">
        <v>597</v>
      </c>
      <c r="E14" t="s">
        <v>598</v>
      </c>
      <c r="F14" s="1">
        <v>0</v>
      </c>
    </row>
    <row r="15" spans="1:6" x14ac:dyDescent="0.3">
      <c r="A15" s="2">
        <v>43839</v>
      </c>
      <c r="B15" s="41">
        <v>0.51597222222222217</v>
      </c>
      <c r="C15" t="s">
        <v>650</v>
      </c>
      <c r="D15" t="s">
        <v>590</v>
      </c>
      <c r="E15" t="s">
        <v>601</v>
      </c>
      <c r="F15" s="1">
        <v>0</v>
      </c>
    </row>
    <row r="16" spans="1:6" x14ac:dyDescent="0.3">
      <c r="A16" s="2">
        <v>43841</v>
      </c>
      <c r="B16" s="41">
        <v>0.23611111111111113</v>
      </c>
      <c r="C16" t="s">
        <v>649</v>
      </c>
      <c r="D16" t="s">
        <v>588</v>
      </c>
      <c r="E16" t="s">
        <v>586</v>
      </c>
      <c r="F16" s="1">
        <v>0</v>
      </c>
    </row>
    <row r="17" spans="1:6" x14ac:dyDescent="0.3">
      <c r="A17" s="2">
        <v>43841</v>
      </c>
      <c r="B17" s="41">
        <v>0.54236111111111118</v>
      </c>
      <c r="C17" t="s">
        <v>649</v>
      </c>
      <c r="D17" t="s">
        <v>592</v>
      </c>
      <c r="E17" t="s">
        <v>608</v>
      </c>
      <c r="F17" s="1">
        <v>0</v>
      </c>
    </row>
    <row r="18" spans="1:6" x14ac:dyDescent="0.3">
      <c r="A18" s="2">
        <v>43843</v>
      </c>
      <c r="B18" s="41">
        <v>0.36458333333333331</v>
      </c>
      <c r="C18" t="s">
        <v>652</v>
      </c>
      <c r="D18" t="s">
        <v>587</v>
      </c>
      <c r="E18" t="s">
        <v>618</v>
      </c>
      <c r="F18" s="1">
        <v>1</v>
      </c>
    </row>
    <row r="19" spans="1:6" x14ac:dyDescent="0.3">
      <c r="A19" s="2">
        <v>43843</v>
      </c>
      <c r="B19" s="41">
        <v>0.54166666666666663</v>
      </c>
      <c r="C19" t="s">
        <v>649</v>
      </c>
      <c r="D19" t="s">
        <v>587</v>
      </c>
      <c r="E19" t="s">
        <v>598</v>
      </c>
      <c r="F19" s="1">
        <v>0</v>
      </c>
    </row>
    <row r="20" spans="1:6" x14ac:dyDescent="0.3">
      <c r="A20" s="2">
        <v>43843</v>
      </c>
      <c r="B20" s="41">
        <v>0.59583333333333333</v>
      </c>
      <c r="C20" t="s">
        <v>650</v>
      </c>
      <c r="D20" t="s">
        <v>599</v>
      </c>
      <c r="E20" t="s">
        <v>586</v>
      </c>
      <c r="F20" s="1">
        <v>0</v>
      </c>
    </row>
    <row r="21" spans="1:6" x14ac:dyDescent="0.3">
      <c r="A21" s="2">
        <v>43843</v>
      </c>
      <c r="B21" s="41">
        <v>0.625</v>
      </c>
      <c r="C21" t="s">
        <v>649</v>
      </c>
      <c r="D21" t="s">
        <v>602</v>
      </c>
      <c r="E21" t="s">
        <v>608</v>
      </c>
      <c r="F21" s="1">
        <v>0</v>
      </c>
    </row>
    <row r="22" spans="1:6" x14ac:dyDescent="0.3">
      <c r="A22" s="2">
        <v>43844</v>
      </c>
      <c r="B22" s="41">
        <v>0.42777777777777781</v>
      </c>
      <c r="C22" t="s">
        <v>652</v>
      </c>
      <c r="D22" t="s">
        <v>599</v>
      </c>
      <c r="E22" t="s">
        <v>598</v>
      </c>
      <c r="F22" s="1">
        <v>0</v>
      </c>
    </row>
    <row r="23" spans="1:6" x14ac:dyDescent="0.3">
      <c r="A23" s="2">
        <v>43844</v>
      </c>
      <c r="B23" s="41">
        <v>0.59305555555555556</v>
      </c>
      <c r="C23" t="s">
        <v>649</v>
      </c>
      <c r="D23" t="s">
        <v>592</v>
      </c>
      <c r="E23" t="s">
        <v>591</v>
      </c>
      <c r="F23" s="1">
        <v>1</v>
      </c>
    </row>
    <row r="24" spans="1:6" x14ac:dyDescent="0.3">
      <c r="A24" s="2">
        <v>43845</v>
      </c>
      <c r="B24" s="41">
        <v>0.51388888888888895</v>
      </c>
      <c r="C24" t="s">
        <v>649</v>
      </c>
      <c r="D24" t="s">
        <v>602</v>
      </c>
      <c r="E24" t="s">
        <v>607</v>
      </c>
      <c r="F24" s="1">
        <v>0</v>
      </c>
    </row>
    <row r="25" spans="1:6" x14ac:dyDescent="0.3">
      <c r="A25" s="2">
        <v>43845</v>
      </c>
      <c r="B25" s="41">
        <v>0.51388888888888895</v>
      </c>
      <c r="C25" t="s">
        <v>652</v>
      </c>
      <c r="D25" t="s">
        <v>587</v>
      </c>
      <c r="E25" t="s">
        <v>586</v>
      </c>
      <c r="F25" s="1">
        <v>0</v>
      </c>
    </row>
    <row r="26" spans="1:6" x14ac:dyDescent="0.3">
      <c r="A26" s="2">
        <v>43846</v>
      </c>
      <c r="B26" s="41">
        <v>0.2673611111111111</v>
      </c>
      <c r="C26" t="s">
        <v>649</v>
      </c>
      <c r="D26" t="s">
        <v>585</v>
      </c>
      <c r="E26" t="s">
        <v>601</v>
      </c>
      <c r="F26" s="1">
        <v>0</v>
      </c>
    </row>
    <row r="27" spans="1:6" x14ac:dyDescent="0.3">
      <c r="A27" s="2">
        <v>43846</v>
      </c>
      <c r="B27" s="41">
        <v>0.47916666666666669</v>
      </c>
      <c r="C27" t="s">
        <v>650</v>
      </c>
      <c r="D27" t="s">
        <v>595</v>
      </c>
      <c r="E27" t="s">
        <v>624</v>
      </c>
      <c r="F27" s="1">
        <v>0</v>
      </c>
    </row>
    <row r="28" spans="1:6" x14ac:dyDescent="0.3">
      <c r="A28" s="2">
        <v>43846</v>
      </c>
      <c r="B28" s="41">
        <v>0.625</v>
      </c>
      <c r="C28" t="s">
        <v>652</v>
      </c>
      <c r="D28" t="s">
        <v>587</v>
      </c>
      <c r="E28" t="s">
        <v>618</v>
      </c>
      <c r="F28" s="1">
        <v>0</v>
      </c>
    </row>
    <row r="29" spans="1:6" x14ac:dyDescent="0.3">
      <c r="A29" s="2">
        <v>43847</v>
      </c>
      <c r="B29" s="41">
        <v>0.36458333333333331</v>
      </c>
      <c r="C29" t="s">
        <v>649</v>
      </c>
      <c r="D29" t="s">
        <v>588</v>
      </c>
      <c r="E29" t="s">
        <v>589</v>
      </c>
      <c r="F29" s="1">
        <v>0</v>
      </c>
    </row>
    <row r="30" spans="1:6" x14ac:dyDescent="0.3">
      <c r="A30" s="2">
        <v>43847</v>
      </c>
      <c r="B30" s="41">
        <v>0.38194444444444442</v>
      </c>
      <c r="C30" t="s">
        <v>649</v>
      </c>
      <c r="D30" t="s">
        <v>587</v>
      </c>
      <c r="E30" t="s">
        <v>586</v>
      </c>
      <c r="F30" s="1">
        <v>0</v>
      </c>
    </row>
    <row r="31" spans="1:6" x14ac:dyDescent="0.3">
      <c r="A31" s="2">
        <v>43847</v>
      </c>
      <c r="B31" s="41">
        <v>0.49652777777777773</v>
      </c>
      <c r="C31" t="s">
        <v>649</v>
      </c>
      <c r="D31" t="s">
        <v>587</v>
      </c>
      <c r="E31" t="s">
        <v>586</v>
      </c>
      <c r="F31" s="1">
        <v>0</v>
      </c>
    </row>
    <row r="32" spans="1:6" x14ac:dyDescent="0.3">
      <c r="A32" s="2">
        <v>43851</v>
      </c>
      <c r="B32" s="41">
        <v>0.30555555555555552</v>
      </c>
      <c r="C32" t="s">
        <v>651</v>
      </c>
      <c r="D32" t="s">
        <v>587</v>
      </c>
      <c r="E32" t="s">
        <v>622</v>
      </c>
      <c r="F32" s="1">
        <v>0</v>
      </c>
    </row>
    <row r="33" spans="1:6" x14ac:dyDescent="0.3">
      <c r="A33" s="2">
        <v>43851</v>
      </c>
      <c r="B33" s="41">
        <v>0.42708333333333331</v>
      </c>
      <c r="C33" t="s">
        <v>649</v>
      </c>
      <c r="D33" t="s">
        <v>590</v>
      </c>
      <c r="E33" t="s">
        <v>586</v>
      </c>
      <c r="F33" s="1">
        <v>0</v>
      </c>
    </row>
    <row r="34" spans="1:6" x14ac:dyDescent="0.3">
      <c r="A34" s="2">
        <v>43851</v>
      </c>
      <c r="B34" s="41">
        <v>0.54166666666666663</v>
      </c>
      <c r="C34" t="s">
        <v>652</v>
      </c>
      <c r="D34" t="s">
        <v>588</v>
      </c>
      <c r="E34" t="s">
        <v>618</v>
      </c>
      <c r="F34" s="1">
        <v>0</v>
      </c>
    </row>
    <row r="35" spans="1:6" x14ac:dyDescent="0.3">
      <c r="A35" s="2">
        <v>43851</v>
      </c>
      <c r="B35" s="41">
        <v>0.58333333333333337</v>
      </c>
      <c r="C35" t="s">
        <v>650</v>
      </c>
      <c r="D35" t="s">
        <v>588</v>
      </c>
      <c r="E35" t="s">
        <v>586</v>
      </c>
      <c r="F35" s="1">
        <v>0</v>
      </c>
    </row>
    <row r="36" spans="1:6" x14ac:dyDescent="0.3">
      <c r="A36" s="2">
        <v>43852</v>
      </c>
      <c r="B36" s="41">
        <v>0.51736111111111105</v>
      </c>
      <c r="C36" t="s">
        <v>649</v>
      </c>
      <c r="D36" t="s">
        <v>590</v>
      </c>
      <c r="E36" t="s">
        <v>618</v>
      </c>
      <c r="F36" s="1">
        <v>0</v>
      </c>
    </row>
    <row r="37" spans="1:6" x14ac:dyDescent="0.3">
      <c r="A37" s="2">
        <v>43853</v>
      </c>
      <c r="B37" s="41">
        <v>0.54861111111111105</v>
      </c>
      <c r="C37" t="s">
        <v>651</v>
      </c>
      <c r="D37" t="s">
        <v>609</v>
      </c>
      <c r="E37" t="s">
        <v>618</v>
      </c>
      <c r="F37" s="1">
        <v>0</v>
      </c>
    </row>
    <row r="38" spans="1:6" x14ac:dyDescent="0.3">
      <c r="A38" s="2">
        <v>43853</v>
      </c>
      <c r="B38" s="41">
        <v>0.61111111111111105</v>
      </c>
      <c r="C38" t="s">
        <v>649</v>
      </c>
      <c r="D38" t="s">
        <v>588</v>
      </c>
      <c r="E38" t="s">
        <v>618</v>
      </c>
      <c r="F38" s="1">
        <v>0</v>
      </c>
    </row>
    <row r="39" spans="1:6" x14ac:dyDescent="0.3">
      <c r="A39" s="2">
        <v>43854</v>
      </c>
      <c r="B39" s="41">
        <v>0.3520833333333333</v>
      </c>
      <c r="C39" t="s">
        <v>650</v>
      </c>
      <c r="D39" t="s">
        <v>590</v>
      </c>
      <c r="E39" t="s">
        <v>586</v>
      </c>
      <c r="F39" s="1">
        <v>0</v>
      </c>
    </row>
    <row r="40" spans="1:6" x14ac:dyDescent="0.3">
      <c r="A40" s="2">
        <v>43855</v>
      </c>
      <c r="B40" s="41">
        <v>0.65625</v>
      </c>
      <c r="C40" t="s">
        <v>649</v>
      </c>
      <c r="D40" t="s">
        <v>606</v>
      </c>
      <c r="E40" t="s">
        <v>618</v>
      </c>
      <c r="F40" s="1">
        <v>0</v>
      </c>
    </row>
    <row r="41" spans="1:6" x14ac:dyDescent="0.3">
      <c r="A41" s="2">
        <v>43857</v>
      </c>
      <c r="B41" s="41">
        <v>0.73263888888888884</v>
      </c>
      <c r="C41" t="s">
        <v>651</v>
      </c>
      <c r="D41" t="s">
        <v>587</v>
      </c>
      <c r="E41" t="s">
        <v>618</v>
      </c>
      <c r="F41" s="1">
        <v>0</v>
      </c>
    </row>
    <row r="42" spans="1:6" x14ac:dyDescent="0.3">
      <c r="A42" s="2">
        <v>43859</v>
      </c>
      <c r="B42" s="41">
        <v>0.41944444444444445</v>
      </c>
      <c r="C42" t="s">
        <v>649</v>
      </c>
      <c r="D42" t="s">
        <v>609</v>
      </c>
      <c r="E42" t="s">
        <v>586</v>
      </c>
      <c r="F42" s="1">
        <v>0</v>
      </c>
    </row>
    <row r="43" spans="1:6" x14ac:dyDescent="0.3">
      <c r="A43" s="2">
        <v>43860</v>
      </c>
      <c r="B43" s="41">
        <v>0.35416666666666669</v>
      </c>
      <c r="C43" t="s">
        <v>649</v>
      </c>
      <c r="D43" t="s">
        <v>611</v>
      </c>
      <c r="E43" t="s">
        <v>586</v>
      </c>
      <c r="F43" s="1">
        <v>0</v>
      </c>
    </row>
    <row r="44" spans="1:6" x14ac:dyDescent="0.3">
      <c r="A44" s="2">
        <v>43860</v>
      </c>
      <c r="B44" s="41">
        <v>0.42777777777777781</v>
      </c>
      <c r="C44" t="s">
        <v>649</v>
      </c>
      <c r="D44" t="s">
        <v>602</v>
      </c>
      <c r="E44" t="s">
        <v>586</v>
      </c>
      <c r="F44" s="1">
        <v>0</v>
      </c>
    </row>
    <row r="45" spans="1:6" x14ac:dyDescent="0.3">
      <c r="A45" s="2">
        <v>43863</v>
      </c>
      <c r="B45" s="41">
        <v>0.63541666666666663</v>
      </c>
      <c r="C45" t="s">
        <v>652</v>
      </c>
      <c r="D45" t="s">
        <v>585</v>
      </c>
      <c r="E45" t="s">
        <v>586</v>
      </c>
      <c r="F45" s="1">
        <v>0</v>
      </c>
    </row>
    <row r="46" spans="1:6" x14ac:dyDescent="0.3">
      <c r="A46" s="2">
        <v>43863</v>
      </c>
      <c r="B46" s="41">
        <v>0.74652777777777779</v>
      </c>
      <c r="C46" t="s">
        <v>650</v>
      </c>
      <c r="D46" t="s">
        <v>587</v>
      </c>
      <c r="E46" t="s">
        <v>591</v>
      </c>
      <c r="F46" s="1">
        <v>1</v>
      </c>
    </row>
    <row r="47" spans="1:6" x14ac:dyDescent="0.3">
      <c r="A47" s="2">
        <v>43864</v>
      </c>
      <c r="B47" s="41">
        <v>0.1423611111111111</v>
      </c>
      <c r="C47" t="s">
        <v>651</v>
      </c>
      <c r="D47" t="s">
        <v>604</v>
      </c>
      <c r="E47" t="s">
        <v>605</v>
      </c>
      <c r="F47" s="1">
        <v>0</v>
      </c>
    </row>
    <row r="48" spans="1:6" x14ac:dyDescent="0.3">
      <c r="A48" s="2">
        <v>43864</v>
      </c>
      <c r="B48" s="41">
        <v>0.36458333333333331</v>
      </c>
      <c r="C48" t="s">
        <v>649</v>
      </c>
      <c r="D48" t="s">
        <v>590</v>
      </c>
      <c r="E48" t="s">
        <v>601</v>
      </c>
      <c r="F48" s="1">
        <v>0</v>
      </c>
    </row>
    <row r="49" spans="1:6" x14ac:dyDescent="0.3">
      <c r="A49" s="2">
        <v>43864</v>
      </c>
      <c r="B49" s="41">
        <v>0.6645833333333333</v>
      </c>
      <c r="C49" t="s">
        <v>650</v>
      </c>
      <c r="D49" t="s">
        <v>588</v>
      </c>
      <c r="E49" t="s">
        <v>623</v>
      </c>
      <c r="F49" s="1">
        <v>0</v>
      </c>
    </row>
    <row r="50" spans="1:6" x14ac:dyDescent="0.3">
      <c r="A50" s="2">
        <v>43864</v>
      </c>
      <c r="B50" s="41">
        <v>0.88680555555555562</v>
      </c>
      <c r="C50" t="s">
        <v>649</v>
      </c>
      <c r="D50" t="s">
        <v>590</v>
      </c>
      <c r="E50" t="s">
        <v>586</v>
      </c>
      <c r="F50" s="1">
        <v>0</v>
      </c>
    </row>
    <row r="51" spans="1:6" x14ac:dyDescent="0.3">
      <c r="A51" s="2">
        <v>43867</v>
      </c>
      <c r="B51" s="41">
        <v>0.42569444444444443</v>
      </c>
      <c r="C51" t="s">
        <v>650</v>
      </c>
      <c r="D51" t="s">
        <v>609</v>
      </c>
      <c r="E51" t="s">
        <v>624</v>
      </c>
      <c r="F51" s="1">
        <v>1</v>
      </c>
    </row>
    <row r="52" spans="1:6" x14ac:dyDescent="0.3">
      <c r="A52" s="2">
        <v>43868</v>
      </c>
      <c r="B52" s="41">
        <v>0.28819444444444448</v>
      </c>
      <c r="C52" t="s">
        <v>649</v>
      </c>
      <c r="D52" t="s">
        <v>590</v>
      </c>
      <c r="E52" t="s">
        <v>618</v>
      </c>
      <c r="F52" s="1">
        <v>1</v>
      </c>
    </row>
    <row r="53" spans="1:6" x14ac:dyDescent="0.3">
      <c r="A53" s="2">
        <v>43868</v>
      </c>
      <c r="B53" s="41">
        <v>0.55208333333333337</v>
      </c>
      <c r="C53" t="s">
        <v>650</v>
      </c>
      <c r="D53" t="s">
        <v>587</v>
      </c>
      <c r="E53" t="s">
        <v>624</v>
      </c>
      <c r="F53" s="1">
        <v>0</v>
      </c>
    </row>
    <row r="54" spans="1:6" x14ac:dyDescent="0.3">
      <c r="A54" s="2">
        <v>43868</v>
      </c>
      <c r="B54" s="41">
        <v>0.66111111111111109</v>
      </c>
      <c r="C54" t="s">
        <v>649</v>
      </c>
      <c r="D54" t="s">
        <v>606</v>
      </c>
      <c r="E54" t="s">
        <v>605</v>
      </c>
      <c r="F54" s="1">
        <v>0</v>
      </c>
    </row>
    <row r="55" spans="1:6" x14ac:dyDescent="0.3">
      <c r="A55" s="2">
        <v>43868</v>
      </c>
      <c r="B55" s="41">
        <v>0.69444444444444453</v>
      </c>
      <c r="C55" t="s">
        <v>649</v>
      </c>
      <c r="D55" t="s">
        <v>602</v>
      </c>
      <c r="E55" t="s">
        <v>618</v>
      </c>
      <c r="F55" s="1">
        <v>0</v>
      </c>
    </row>
    <row r="56" spans="1:6" x14ac:dyDescent="0.3">
      <c r="A56" s="2">
        <v>43870</v>
      </c>
      <c r="B56" s="41">
        <v>0.42152777777777778</v>
      </c>
      <c r="C56" t="s">
        <v>650</v>
      </c>
      <c r="D56" t="s">
        <v>587</v>
      </c>
      <c r="E56" t="s">
        <v>586</v>
      </c>
      <c r="F56" s="1">
        <v>0</v>
      </c>
    </row>
    <row r="57" spans="1:6" x14ac:dyDescent="0.3">
      <c r="A57" s="2">
        <v>43871</v>
      </c>
      <c r="B57" s="41">
        <v>0.45347222222222222</v>
      </c>
      <c r="C57" t="s">
        <v>649</v>
      </c>
      <c r="D57" t="s">
        <v>609</v>
      </c>
      <c r="E57" t="s">
        <v>624</v>
      </c>
      <c r="F57" s="1">
        <v>0</v>
      </c>
    </row>
    <row r="58" spans="1:6" x14ac:dyDescent="0.3">
      <c r="A58" s="2">
        <v>43871</v>
      </c>
      <c r="B58" s="41">
        <v>0.65277777777777779</v>
      </c>
      <c r="C58" t="s">
        <v>649</v>
      </c>
      <c r="D58" t="s">
        <v>590</v>
      </c>
      <c r="E58" t="s">
        <v>622</v>
      </c>
      <c r="F58" s="1">
        <v>0</v>
      </c>
    </row>
    <row r="59" spans="1:6" x14ac:dyDescent="0.3">
      <c r="A59" s="2">
        <v>43871</v>
      </c>
      <c r="B59" s="41">
        <v>0.8305555555555556</v>
      </c>
      <c r="C59" t="s">
        <v>651</v>
      </c>
      <c r="D59" t="s">
        <v>590</v>
      </c>
      <c r="E59" t="s">
        <v>586</v>
      </c>
      <c r="F59" s="1">
        <v>0</v>
      </c>
    </row>
    <row r="60" spans="1:6" x14ac:dyDescent="0.3">
      <c r="A60" s="2">
        <v>43872</v>
      </c>
      <c r="B60" s="41">
        <v>0.3923611111111111</v>
      </c>
      <c r="C60" t="s">
        <v>650</v>
      </c>
      <c r="D60" t="s">
        <v>587</v>
      </c>
      <c r="E60" t="s">
        <v>618</v>
      </c>
      <c r="F60" s="1">
        <v>0</v>
      </c>
    </row>
    <row r="61" spans="1:6" x14ac:dyDescent="0.3">
      <c r="A61" s="2">
        <v>43873</v>
      </c>
      <c r="B61" s="41">
        <v>0.4375</v>
      </c>
      <c r="C61" t="s">
        <v>649</v>
      </c>
      <c r="D61" t="s">
        <v>619</v>
      </c>
      <c r="E61" t="s">
        <v>618</v>
      </c>
      <c r="F61" s="1">
        <v>0</v>
      </c>
    </row>
    <row r="62" spans="1:6" x14ac:dyDescent="0.3">
      <c r="A62" s="2">
        <v>43873</v>
      </c>
      <c r="B62" s="41">
        <v>0.57638888888888895</v>
      </c>
      <c r="C62" t="s">
        <v>650</v>
      </c>
      <c r="D62" t="s">
        <v>587</v>
      </c>
      <c r="E62" t="s">
        <v>618</v>
      </c>
      <c r="F62" s="1">
        <v>0</v>
      </c>
    </row>
    <row r="63" spans="1:6" x14ac:dyDescent="0.3">
      <c r="A63" s="2">
        <v>43873</v>
      </c>
      <c r="B63" s="41">
        <v>0.64930555555555558</v>
      </c>
      <c r="C63" t="s">
        <v>649</v>
      </c>
      <c r="D63" t="s">
        <v>587</v>
      </c>
      <c r="E63" t="s">
        <v>586</v>
      </c>
      <c r="F63" s="1">
        <v>0</v>
      </c>
    </row>
    <row r="64" spans="1:6" x14ac:dyDescent="0.3">
      <c r="A64" s="2">
        <v>43874</v>
      </c>
      <c r="B64" s="41">
        <v>0.72777777777777775</v>
      </c>
      <c r="C64" t="s">
        <v>649</v>
      </c>
      <c r="D64" t="s">
        <v>602</v>
      </c>
      <c r="E64" t="s">
        <v>618</v>
      </c>
      <c r="F64" s="1">
        <v>0</v>
      </c>
    </row>
    <row r="65" spans="1:6" x14ac:dyDescent="0.3">
      <c r="A65" s="2">
        <v>43875</v>
      </c>
      <c r="B65" s="41">
        <v>0.3888888888888889</v>
      </c>
      <c r="C65" t="s">
        <v>649</v>
      </c>
      <c r="D65" t="s">
        <v>588</v>
      </c>
      <c r="E65" t="s">
        <v>608</v>
      </c>
      <c r="F65" s="1">
        <v>0</v>
      </c>
    </row>
    <row r="66" spans="1:6" x14ac:dyDescent="0.3">
      <c r="A66" s="2">
        <v>43875</v>
      </c>
      <c r="B66" s="41">
        <v>0.3888888888888889</v>
      </c>
      <c r="C66" t="s">
        <v>649</v>
      </c>
      <c r="D66" t="s">
        <v>599</v>
      </c>
      <c r="E66" t="s">
        <v>586</v>
      </c>
      <c r="F66" s="1">
        <v>0</v>
      </c>
    </row>
    <row r="67" spans="1:6" x14ac:dyDescent="0.3">
      <c r="A67" s="2">
        <v>43875</v>
      </c>
      <c r="B67" s="41">
        <v>0.67013888888888884</v>
      </c>
      <c r="C67" t="s">
        <v>649</v>
      </c>
      <c r="D67" t="s">
        <v>609</v>
      </c>
      <c r="E67" t="s">
        <v>586</v>
      </c>
      <c r="F67" s="1">
        <v>0</v>
      </c>
    </row>
    <row r="68" spans="1:6" x14ac:dyDescent="0.3">
      <c r="A68" s="2">
        <v>43875</v>
      </c>
      <c r="B68" s="41">
        <v>0.71180555555555547</v>
      </c>
      <c r="C68" t="s">
        <v>649</v>
      </c>
      <c r="D68" t="s">
        <v>609</v>
      </c>
      <c r="E68" t="s">
        <v>622</v>
      </c>
      <c r="F68" s="1">
        <v>0</v>
      </c>
    </row>
    <row r="69" spans="1:6" x14ac:dyDescent="0.3">
      <c r="A69" s="2">
        <v>43878</v>
      </c>
      <c r="B69" s="41">
        <v>0.45833333333333331</v>
      </c>
      <c r="C69" t="s">
        <v>652</v>
      </c>
      <c r="D69" t="s">
        <v>587</v>
      </c>
      <c r="E69" t="s">
        <v>586</v>
      </c>
      <c r="F69" s="1">
        <v>0</v>
      </c>
    </row>
    <row r="70" spans="1:6" x14ac:dyDescent="0.3">
      <c r="A70" s="2">
        <v>43879</v>
      </c>
      <c r="B70" s="41">
        <v>0.3923611111111111</v>
      </c>
      <c r="C70" t="s">
        <v>652</v>
      </c>
      <c r="D70" t="s">
        <v>587</v>
      </c>
      <c r="E70" t="s">
        <v>622</v>
      </c>
      <c r="F70" s="1">
        <v>1</v>
      </c>
    </row>
    <row r="71" spans="1:6" x14ac:dyDescent="0.3">
      <c r="A71" s="2">
        <v>43879</v>
      </c>
      <c r="B71" s="41">
        <v>0.76388888888888884</v>
      </c>
      <c r="C71" t="s">
        <v>650</v>
      </c>
      <c r="D71" t="s">
        <v>590</v>
      </c>
      <c r="E71" t="s">
        <v>591</v>
      </c>
      <c r="F71" s="1">
        <v>1</v>
      </c>
    </row>
    <row r="72" spans="1:6" x14ac:dyDescent="0.3">
      <c r="A72" s="2">
        <v>43880</v>
      </c>
      <c r="B72" s="41">
        <v>0.4861111111111111</v>
      </c>
      <c r="C72" t="s">
        <v>650</v>
      </c>
      <c r="D72" t="s">
        <v>590</v>
      </c>
      <c r="E72" t="s">
        <v>622</v>
      </c>
      <c r="F72" s="1">
        <v>0</v>
      </c>
    </row>
    <row r="73" spans="1:6" x14ac:dyDescent="0.3">
      <c r="A73" s="2">
        <v>43880</v>
      </c>
      <c r="B73" s="41">
        <v>0.54513888888888895</v>
      </c>
      <c r="C73" t="s">
        <v>649</v>
      </c>
      <c r="D73" t="s">
        <v>587</v>
      </c>
      <c r="E73" t="s">
        <v>618</v>
      </c>
      <c r="F73" s="1">
        <v>0</v>
      </c>
    </row>
    <row r="74" spans="1:6" x14ac:dyDescent="0.3">
      <c r="A74" s="2">
        <v>43881</v>
      </c>
      <c r="B74" s="41">
        <v>0.62986111111111109</v>
      </c>
      <c r="C74" t="s">
        <v>650</v>
      </c>
      <c r="D74" t="s">
        <v>587</v>
      </c>
      <c r="E74" t="s">
        <v>601</v>
      </c>
      <c r="F74" s="1">
        <v>0</v>
      </c>
    </row>
    <row r="75" spans="1:6" x14ac:dyDescent="0.3">
      <c r="A75" s="2">
        <v>43881</v>
      </c>
      <c r="B75" s="41">
        <v>0.6875</v>
      </c>
      <c r="C75" t="s">
        <v>650</v>
      </c>
      <c r="D75" t="s">
        <v>604</v>
      </c>
      <c r="E75" t="s">
        <v>618</v>
      </c>
      <c r="F75" s="1">
        <v>0</v>
      </c>
    </row>
    <row r="76" spans="1:6" x14ac:dyDescent="0.3">
      <c r="A76" s="2">
        <v>43884</v>
      </c>
      <c r="B76" s="41">
        <v>0.5</v>
      </c>
      <c r="C76" t="s">
        <v>649</v>
      </c>
      <c r="D76" t="s">
        <v>588</v>
      </c>
      <c r="E76" t="s">
        <v>598</v>
      </c>
      <c r="F76" s="1">
        <v>0</v>
      </c>
    </row>
    <row r="77" spans="1:6" x14ac:dyDescent="0.3">
      <c r="A77" s="2">
        <v>43884</v>
      </c>
      <c r="B77" s="41">
        <v>0.83333333333333337</v>
      </c>
      <c r="C77" t="s">
        <v>649</v>
      </c>
      <c r="D77" t="s">
        <v>602</v>
      </c>
      <c r="E77" t="s">
        <v>586</v>
      </c>
      <c r="F77" s="1">
        <v>0</v>
      </c>
    </row>
    <row r="78" spans="1:6" x14ac:dyDescent="0.3">
      <c r="A78" s="2">
        <v>43885</v>
      </c>
      <c r="B78" s="41">
        <v>0.35069444444444442</v>
      </c>
      <c r="C78" t="s">
        <v>652</v>
      </c>
      <c r="D78" t="s">
        <v>593</v>
      </c>
      <c r="E78" t="s">
        <v>591</v>
      </c>
      <c r="F78" s="1">
        <v>1</v>
      </c>
    </row>
    <row r="79" spans="1:6" x14ac:dyDescent="0.3">
      <c r="A79" s="2">
        <v>43885</v>
      </c>
      <c r="B79" s="41">
        <v>0.55694444444444446</v>
      </c>
      <c r="C79" t="s">
        <v>649</v>
      </c>
      <c r="D79" t="s">
        <v>600</v>
      </c>
      <c r="E79" t="s">
        <v>624</v>
      </c>
      <c r="F79" s="1">
        <v>0</v>
      </c>
    </row>
    <row r="80" spans="1:6" x14ac:dyDescent="0.3">
      <c r="A80" s="2">
        <v>43885</v>
      </c>
      <c r="B80" s="41">
        <v>0.625</v>
      </c>
      <c r="C80" t="s">
        <v>649</v>
      </c>
      <c r="D80" t="s">
        <v>602</v>
      </c>
      <c r="E80" t="s">
        <v>601</v>
      </c>
      <c r="F80" s="1">
        <v>0</v>
      </c>
    </row>
    <row r="81" spans="1:6" x14ac:dyDescent="0.3">
      <c r="A81" s="2">
        <v>43886</v>
      </c>
      <c r="B81" s="41">
        <v>0.11805555555555557</v>
      </c>
      <c r="C81" t="s">
        <v>650</v>
      </c>
      <c r="D81" t="s">
        <v>588</v>
      </c>
      <c r="E81" t="s">
        <v>618</v>
      </c>
      <c r="F81" s="1">
        <v>0</v>
      </c>
    </row>
    <row r="82" spans="1:6" x14ac:dyDescent="0.3">
      <c r="A82" s="2">
        <v>43887</v>
      </c>
      <c r="B82" s="41">
        <v>0.19097222222222221</v>
      </c>
      <c r="C82" t="s">
        <v>651</v>
      </c>
      <c r="D82" t="s">
        <v>612</v>
      </c>
      <c r="E82" t="s">
        <v>586</v>
      </c>
      <c r="F82" s="1">
        <v>0</v>
      </c>
    </row>
    <row r="83" spans="1:6" x14ac:dyDescent="0.3">
      <c r="A83" s="2">
        <v>43888</v>
      </c>
      <c r="B83" s="41">
        <v>0.38194444444444442</v>
      </c>
      <c r="C83" t="s">
        <v>650</v>
      </c>
      <c r="D83" t="s">
        <v>588</v>
      </c>
      <c r="E83" t="s">
        <v>601</v>
      </c>
      <c r="F83" s="1">
        <v>0</v>
      </c>
    </row>
    <row r="84" spans="1:6" x14ac:dyDescent="0.3">
      <c r="A84" s="2">
        <v>43888</v>
      </c>
      <c r="B84" s="41">
        <v>0.48888888888888887</v>
      </c>
      <c r="C84" t="s">
        <v>649</v>
      </c>
      <c r="D84" t="s">
        <v>602</v>
      </c>
      <c r="E84" t="s">
        <v>586</v>
      </c>
      <c r="F84" s="1">
        <v>0</v>
      </c>
    </row>
    <row r="85" spans="1:6" x14ac:dyDescent="0.3">
      <c r="A85" s="2">
        <v>43888</v>
      </c>
      <c r="B85" s="41">
        <v>0.58333333333333337</v>
      </c>
      <c r="C85" t="s">
        <v>650</v>
      </c>
      <c r="D85" t="s">
        <v>595</v>
      </c>
      <c r="E85" t="s">
        <v>623</v>
      </c>
      <c r="F85" s="1">
        <v>0</v>
      </c>
    </row>
    <row r="86" spans="1:6" x14ac:dyDescent="0.3">
      <c r="A86" s="2">
        <v>43888</v>
      </c>
      <c r="B86" s="41">
        <v>0.61111111111111105</v>
      </c>
      <c r="C86" t="s">
        <v>650</v>
      </c>
      <c r="D86" t="s">
        <v>590</v>
      </c>
      <c r="E86" t="s">
        <v>618</v>
      </c>
      <c r="F86" s="1">
        <v>0</v>
      </c>
    </row>
    <row r="87" spans="1:6" x14ac:dyDescent="0.3">
      <c r="A87" s="2">
        <v>43888</v>
      </c>
      <c r="B87" s="41">
        <v>0.64513888888888882</v>
      </c>
      <c r="C87" t="s">
        <v>650</v>
      </c>
      <c r="D87" t="s">
        <v>587</v>
      </c>
      <c r="E87" t="s">
        <v>605</v>
      </c>
      <c r="F87" s="1">
        <v>0</v>
      </c>
    </row>
    <row r="88" spans="1:6" x14ac:dyDescent="0.3">
      <c r="A88" s="2">
        <v>43890</v>
      </c>
      <c r="B88" s="41">
        <v>0.41597222222222219</v>
      </c>
      <c r="C88" t="s">
        <v>649</v>
      </c>
      <c r="D88" t="s">
        <v>590</v>
      </c>
      <c r="E88" t="s">
        <v>618</v>
      </c>
      <c r="F88" s="1">
        <v>0</v>
      </c>
    </row>
    <row r="89" spans="1:6" x14ac:dyDescent="0.3">
      <c r="A89" s="2">
        <v>43891</v>
      </c>
      <c r="B89" s="41">
        <v>0.59513888888888888</v>
      </c>
      <c r="C89" t="s">
        <v>651</v>
      </c>
      <c r="D89" t="s">
        <v>620</v>
      </c>
      <c r="E89" t="s">
        <v>618</v>
      </c>
      <c r="F89" s="1">
        <v>0</v>
      </c>
    </row>
    <row r="90" spans="1:6" x14ac:dyDescent="0.3">
      <c r="A90" s="2">
        <v>43892</v>
      </c>
      <c r="B90" s="41">
        <v>0.36249999999999999</v>
      </c>
      <c r="C90" t="s">
        <v>650</v>
      </c>
      <c r="D90" t="s">
        <v>590</v>
      </c>
      <c r="E90" t="s">
        <v>618</v>
      </c>
      <c r="F90" s="1">
        <v>0</v>
      </c>
    </row>
    <row r="91" spans="1:6" x14ac:dyDescent="0.3">
      <c r="A91" s="2">
        <v>43892</v>
      </c>
      <c r="B91" s="41">
        <v>0.36805555555555558</v>
      </c>
      <c r="C91" t="s">
        <v>649</v>
      </c>
      <c r="D91" t="s">
        <v>587</v>
      </c>
      <c r="E91" t="s">
        <v>601</v>
      </c>
      <c r="F91" s="1">
        <v>0</v>
      </c>
    </row>
    <row r="92" spans="1:6" x14ac:dyDescent="0.3">
      <c r="A92" s="2">
        <v>43892</v>
      </c>
      <c r="B92" s="41">
        <v>0.49305555555555558</v>
      </c>
      <c r="C92" t="s">
        <v>650</v>
      </c>
      <c r="D92" t="s">
        <v>587</v>
      </c>
      <c r="E92" t="s">
        <v>618</v>
      </c>
      <c r="F92" s="1">
        <v>0</v>
      </c>
    </row>
    <row r="93" spans="1:6" x14ac:dyDescent="0.3">
      <c r="A93" s="2">
        <v>43893</v>
      </c>
      <c r="B93" s="41">
        <v>0.45833333333333331</v>
      </c>
      <c r="C93" t="s">
        <v>649</v>
      </c>
      <c r="D93" t="s">
        <v>599</v>
      </c>
      <c r="E93" t="s">
        <v>618</v>
      </c>
      <c r="F93" s="1">
        <v>0</v>
      </c>
    </row>
    <row r="94" spans="1:6" x14ac:dyDescent="0.3">
      <c r="A94" s="2">
        <v>43893</v>
      </c>
      <c r="B94" s="41">
        <v>0.51111111111111118</v>
      </c>
      <c r="C94" t="s">
        <v>650</v>
      </c>
      <c r="D94" t="s">
        <v>587</v>
      </c>
      <c r="E94" t="s">
        <v>586</v>
      </c>
      <c r="F94" s="1">
        <v>0</v>
      </c>
    </row>
    <row r="95" spans="1:6" x14ac:dyDescent="0.3">
      <c r="A95" s="2">
        <v>43894</v>
      </c>
      <c r="B95" s="41">
        <v>0.52708333333333335</v>
      </c>
      <c r="C95" t="s">
        <v>652</v>
      </c>
      <c r="D95" t="s">
        <v>587</v>
      </c>
      <c r="E95" t="s">
        <v>586</v>
      </c>
      <c r="F95" s="1">
        <v>0</v>
      </c>
    </row>
    <row r="96" spans="1:6" x14ac:dyDescent="0.3">
      <c r="A96" s="2">
        <v>43894</v>
      </c>
      <c r="B96" s="41">
        <v>0.79166666666666663</v>
      </c>
      <c r="C96" t="s">
        <v>649</v>
      </c>
      <c r="D96" t="s">
        <v>600</v>
      </c>
      <c r="E96" t="s">
        <v>586</v>
      </c>
      <c r="F96" s="1">
        <v>0</v>
      </c>
    </row>
    <row r="97" spans="1:6" x14ac:dyDescent="0.3">
      <c r="A97" s="2">
        <v>43895</v>
      </c>
      <c r="B97" s="41">
        <v>0.70138888888888884</v>
      </c>
      <c r="C97" t="s">
        <v>649</v>
      </c>
      <c r="D97" t="s">
        <v>587</v>
      </c>
      <c r="E97" t="s">
        <v>622</v>
      </c>
      <c r="F97" s="1">
        <v>0</v>
      </c>
    </row>
    <row r="98" spans="1:6" x14ac:dyDescent="0.3">
      <c r="A98" s="2">
        <v>43896</v>
      </c>
      <c r="B98" s="41">
        <v>0.19791666666666666</v>
      </c>
      <c r="C98" t="s">
        <v>649</v>
      </c>
      <c r="D98" t="s">
        <v>590</v>
      </c>
      <c r="E98" t="s">
        <v>605</v>
      </c>
      <c r="F98" s="1">
        <v>0</v>
      </c>
    </row>
    <row r="99" spans="1:6" x14ac:dyDescent="0.3">
      <c r="A99" s="2">
        <v>43896</v>
      </c>
      <c r="B99" s="41">
        <v>0.2986111111111111</v>
      </c>
      <c r="C99" t="s">
        <v>649</v>
      </c>
      <c r="D99" t="s">
        <v>587</v>
      </c>
      <c r="E99" t="s">
        <v>605</v>
      </c>
      <c r="F99" s="1">
        <v>0</v>
      </c>
    </row>
    <row r="100" spans="1:6" x14ac:dyDescent="0.3">
      <c r="A100" s="2">
        <v>43896</v>
      </c>
      <c r="B100" s="41">
        <v>0.55625000000000002</v>
      </c>
      <c r="C100" t="s">
        <v>650</v>
      </c>
      <c r="D100" t="s">
        <v>611</v>
      </c>
      <c r="E100" t="s">
        <v>622</v>
      </c>
      <c r="F100" s="1">
        <v>0</v>
      </c>
    </row>
    <row r="101" spans="1:6" x14ac:dyDescent="0.3">
      <c r="A101" s="2">
        <v>43896</v>
      </c>
      <c r="B101" s="41">
        <v>0.70138888888888884</v>
      </c>
      <c r="C101" t="s">
        <v>650</v>
      </c>
      <c r="D101" t="s">
        <v>587</v>
      </c>
      <c r="E101" t="s">
        <v>618</v>
      </c>
      <c r="F101" s="1">
        <v>0</v>
      </c>
    </row>
    <row r="102" spans="1:6" x14ac:dyDescent="0.3">
      <c r="A102" s="2">
        <v>43897</v>
      </c>
      <c r="B102" s="41">
        <v>0.4993055555555555</v>
      </c>
      <c r="C102" t="s">
        <v>651</v>
      </c>
      <c r="D102" t="s">
        <v>611</v>
      </c>
      <c r="E102" t="s">
        <v>586</v>
      </c>
      <c r="F102" s="1">
        <v>0</v>
      </c>
    </row>
    <row r="103" spans="1:6" x14ac:dyDescent="0.3">
      <c r="A103" s="2">
        <v>43898</v>
      </c>
      <c r="B103" s="41">
        <v>0.15972222222222224</v>
      </c>
      <c r="C103" t="s">
        <v>650</v>
      </c>
      <c r="D103" t="s">
        <v>590</v>
      </c>
      <c r="E103" t="s">
        <v>618</v>
      </c>
      <c r="F103" s="1">
        <v>0</v>
      </c>
    </row>
    <row r="104" spans="1:6" x14ac:dyDescent="0.3">
      <c r="A104" s="2">
        <v>43898</v>
      </c>
      <c r="B104" s="41">
        <v>0.5</v>
      </c>
      <c r="C104" t="s">
        <v>649</v>
      </c>
      <c r="D104" t="s">
        <v>590</v>
      </c>
      <c r="E104" t="s">
        <v>618</v>
      </c>
      <c r="F104" s="1">
        <v>0</v>
      </c>
    </row>
    <row r="105" spans="1:6" x14ac:dyDescent="0.3">
      <c r="A105" s="2">
        <v>43899</v>
      </c>
      <c r="B105" s="41">
        <v>0.44791666666666669</v>
      </c>
      <c r="C105" t="s">
        <v>650</v>
      </c>
      <c r="D105" t="s">
        <v>587</v>
      </c>
      <c r="E105" t="s">
        <v>618</v>
      </c>
      <c r="F105" s="1">
        <v>0</v>
      </c>
    </row>
    <row r="106" spans="1:6" x14ac:dyDescent="0.3">
      <c r="A106" s="2">
        <v>43899</v>
      </c>
      <c r="B106" s="41">
        <v>0.57291666666666663</v>
      </c>
      <c r="C106" t="s">
        <v>652</v>
      </c>
      <c r="D106" t="s">
        <v>592</v>
      </c>
      <c r="E106" t="s">
        <v>586</v>
      </c>
      <c r="F106" s="1">
        <v>0</v>
      </c>
    </row>
    <row r="107" spans="1:6" x14ac:dyDescent="0.3">
      <c r="A107" s="2">
        <v>43899</v>
      </c>
      <c r="B107" s="41">
        <v>0.65555555555555556</v>
      </c>
      <c r="C107" t="s">
        <v>650</v>
      </c>
      <c r="D107" t="s">
        <v>613</v>
      </c>
      <c r="E107" t="s">
        <v>586</v>
      </c>
      <c r="F107" s="1">
        <v>0</v>
      </c>
    </row>
    <row r="108" spans="1:6" x14ac:dyDescent="0.3">
      <c r="A108" s="2">
        <v>43900</v>
      </c>
      <c r="B108" s="41">
        <v>0.25555555555555559</v>
      </c>
      <c r="C108" t="s">
        <v>651</v>
      </c>
      <c r="D108" t="s">
        <v>602</v>
      </c>
      <c r="E108" t="s">
        <v>605</v>
      </c>
      <c r="F108" s="1">
        <v>0</v>
      </c>
    </row>
    <row r="109" spans="1:6" x14ac:dyDescent="0.3">
      <c r="A109" s="2">
        <v>43902</v>
      </c>
      <c r="B109" s="41">
        <v>0.39583333333333331</v>
      </c>
      <c r="C109" t="s">
        <v>649</v>
      </c>
      <c r="D109" t="s">
        <v>590</v>
      </c>
      <c r="E109" t="s">
        <v>618</v>
      </c>
      <c r="F109" s="1">
        <v>0</v>
      </c>
    </row>
    <row r="110" spans="1:6" x14ac:dyDescent="0.3">
      <c r="A110" s="2">
        <v>43902</v>
      </c>
      <c r="B110" s="41">
        <v>0.57291666666666663</v>
      </c>
      <c r="C110" t="s">
        <v>649</v>
      </c>
      <c r="D110" t="s">
        <v>588</v>
      </c>
      <c r="E110" t="s">
        <v>598</v>
      </c>
      <c r="F110" s="1">
        <v>0</v>
      </c>
    </row>
    <row r="111" spans="1:6" x14ac:dyDescent="0.3">
      <c r="A111" s="2">
        <v>43902</v>
      </c>
      <c r="B111" s="41">
        <v>0.94791666666666663</v>
      </c>
      <c r="C111" t="s">
        <v>650</v>
      </c>
      <c r="D111" t="s">
        <v>587</v>
      </c>
      <c r="E111" t="s">
        <v>586</v>
      </c>
      <c r="F111" s="1">
        <v>1</v>
      </c>
    </row>
    <row r="112" spans="1:6" x14ac:dyDescent="0.3">
      <c r="A112" s="2">
        <v>43904</v>
      </c>
      <c r="B112" s="41">
        <v>0.21875</v>
      </c>
      <c r="C112" t="s">
        <v>649</v>
      </c>
      <c r="D112" t="s">
        <v>609</v>
      </c>
      <c r="E112" t="s">
        <v>608</v>
      </c>
      <c r="F112" s="1">
        <v>0</v>
      </c>
    </row>
    <row r="113" spans="1:6" x14ac:dyDescent="0.3">
      <c r="A113" s="2">
        <v>43904</v>
      </c>
      <c r="B113" s="41">
        <v>0.33749999999999997</v>
      </c>
      <c r="C113" t="s">
        <v>649</v>
      </c>
      <c r="D113" t="s">
        <v>602</v>
      </c>
      <c r="E113" t="s">
        <v>622</v>
      </c>
      <c r="F113" s="1">
        <v>0</v>
      </c>
    </row>
    <row r="114" spans="1:6" x14ac:dyDescent="0.3">
      <c r="A114" s="2">
        <v>43908</v>
      </c>
      <c r="B114" s="41">
        <v>0.43055555555555558</v>
      </c>
      <c r="C114" t="s">
        <v>652</v>
      </c>
      <c r="D114" t="s">
        <v>587</v>
      </c>
      <c r="E114" t="s">
        <v>624</v>
      </c>
      <c r="F114" s="1">
        <v>0</v>
      </c>
    </row>
    <row r="115" spans="1:6" x14ac:dyDescent="0.3">
      <c r="A115" s="2">
        <v>43908</v>
      </c>
      <c r="B115" s="41">
        <v>0.52083333333333337</v>
      </c>
      <c r="C115" t="s">
        <v>650</v>
      </c>
      <c r="D115" t="s">
        <v>599</v>
      </c>
      <c r="E115" t="s">
        <v>601</v>
      </c>
      <c r="F115" s="1">
        <v>0</v>
      </c>
    </row>
    <row r="116" spans="1:6" x14ac:dyDescent="0.3">
      <c r="A116" s="2">
        <v>43908</v>
      </c>
      <c r="B116" s="41">
        <v>0.57291666666666663</v>
      </c>
      <c r="C116" t="s">
        <v>652</v>
      </c>
      <c r="D116" t="s">
        <v>590</v>
      </c>
      <c r="E116" t="s">
        <v>586</v>
      </c>
      <c r="F116" s="1">
        <v>0</v>
      </c>
    </row>
    <row r="117" spans="1:6" x14ac:dyDescent="0.3">
      <c r="A117" s="2">
        <v>43908</v>
      </c>
      <c r="B117" s="41">
        <v>0.66111111111111109</v>
      </c>
      <c r="C117" t="s">
        <v>652</v>
      </c>
      <c r="D117" t="s">
        <v>594</v>
      </c>
      <c r="E117" t="s">
        <v>586</v>
      </c>
      <c r="F117" s="1">
        <v>0</v>
      </c>
    </row>
    <row r="118" spans="1:6" x14ac:dyDescent="0.3">
      <c r="A118" s="2">
        <v>43909</v>
      </c>
      <c r="B118" s="41">
        <v>0.55555555555555558</v>
      </c>
      <c r="C118" t="s">
        <v>649</v>
      </c>
      <c r="D118" t="s">
        <v>587</v>
      </c>
      <c r="E118" t="s">
        <v>605</v>
      </c>
      <c r="F118" s="1">
        <v>0</v>
      </c>
    </row>
    <row r="119" spans="1:6" x14ac:dyDescent="0.3">
      <c r="A119" s="2">
        <v>43909</v>
      </c>
      <c r="B119" s="41">
        <v>0.74930555555555556</v>
      </c>
      <c r="C119" t="s">
        <v>651</v>
      </c>
      <c r="D119" t="s">
        <v>587</v>
      </c>
      <c r="E119" t="s">
        <v>598</v>
      </c>
      <c r="F119" s="1">
        <v>0</v>
      </c>
    </row>
    <row r="120" spans="1:6" x14ac:dyDescent="0.3">
      <c r="A120" s="2">
        <v>43910</v>
      </c>
      <c r="B120" s="41">
        <v>0.83333333333333337</v>
      </c>
      <c r="C120" t="s">
        <v>651</v>
      </c>
      <c r="D120" t="s">
        <v>590</v>
      </c>
      <c r="E120" t="s">
        <v>586</v>
      </c>
      <c r="F120" s="1">
        <v>0</v>
      </c>
    </row>
    <row r="121" spans="1:6" x14ac:dyDescent="0.3">
      <c r="A121" s="2">
        <v>43914</v>
      </c>
      <c r="B121" s="41">
        <v>0.60763888888888895</v>
      </c>
      <c r="C121" t="s">
        <v>652</v>
      </c>
      <c r="D121" t="s">
        <v>590</v>
      </c>
      <c r="E121" t="s">
        <v>618</v>
      </c>
      <c r="F121" s="1">
        <v>0</v>
      </c>
    </row>
    <row r="122" spans="1:6" x14ac:dyDescent="0.3">
      <c r="A122" s="2">
        <v>43915</v>
      </c>
      <c r="B122" s="41">
        <v>0.8041666666666667</v>
      </c>
      <c r="C122" t="s">
        <v>650</v>
      </c>
      <c r="D122" t="s">
        <v>587</v>
      </c>
      <c r="E122" t="s">
        <v>608</v>
      </c>
      <c r="F122" s="1">
        <v>0</v>
      </c>
    </row>
    <row r="123" spans="1:6" x14ac:dyDescent="0.3">
      <c r="A123" s="2">
        <v>43915</v>
      </c>
      <c r="B123" s="41">
        <v>0.8569444444444444</v>
      </c>
      <c r="C123" t="s">
        <v>651</v>
      </c>
      <c r="D123" t="s">
        <v>602</v>
      </c>
      <c r="E123" t="s">
        <v>586</v>
      </c>
      <c r="F123" s="1">
        <v>0</v>
      </c>
    </row>
    <row r="124" spans="1:6" x14ac:dyDescent="0.3">
      <c r="A124" s="2">
        <v>43916</v>
      </c>
      <c r="B124" s="41">
        <v>0.47916666666666669</v>
      </c>
      <c r="C124" t="s">
        <v>649</v>
      </c>
      <c r="D124" t="s">
        <v>588</v>
      </c>
      <c r="E124" t="s">
        <v>618</v>
      </c>
      <c r="F124" s="1">
        <v>0</v>
      </c>
    </row>
    <row r="125" spans="1:6" x14ac:dyDescent="0.3">
      <c r="A125" s="2">
        <v>43916</v>
      </c>
      <c r="B125" s="41">
        <v>0.50347222222222221</v>
      </c>
      <c r="C125" t="s">
        <v>652</v>
      </c>
      <c r="D125" t="s">
        <v>587</v>
      </c>
      <c r="E125" t="s">
        <v>586</v>
      </c>
      <c r="F125" s="1">
        <v>0</v>
      </c>
    </row>
    <row r="126" spans="1:6" x14ac:dyDescent="0.3">
      <c r="A126" s="2">
        <v>43922</v>
      </c>
      <c r="B126" s="41">
        <v>0.56736111111111109</v>
      </c>
      <c r="C126" t="s">
        <v>650</v>
      </c>
      <c r="D126" t="s">
        <v>587</v>
      </c>
      <c r="E126" t="s">
        <v>586</v>
      </c>
      <c r="F126" s="1">
        <v>0</v>
      </c>
    </row>
    <row r="127" spans="1:6" x14ac:dyDescent="0.3">
      <c r="A127" s="2">
        <v>43924</v>
      </c>
      <c r="B127" s="41">
        <v>0.43194444444444446</v>
      </c>
      <c r="C127" t="s">
        <v>652</v>
      </c>
      <c r="D127" t="s">
        <v>606</v>
      </c>
      <c r="E127" t="s">
        <v>618</v>
      </c>
      <c r="F127" s="1">
        <v>0</v>
      </c>
    </row>
    <row r="128" spans="1:6" x14ac:dyDescent="0.3">
      <c r="A128" s="2">
        <v>43931</v>
      </c>
      <c r="B128" s="41">
        <v>0.63888888888888895</v>
      </c>
      <c r="C128" t="s">
        <v>650</v>
      </c>
      <c r="D128" t="s">
        <v>590</v>
      </c>
      <c r="E128" t="s">
        <v>586</v>
      </c>
      <c r="F128" s="1">
        <v>2</v>
      </c>
    </row>
    <row r="129" spans="1:6" x14ac:dyDescent="0.3">
      <c r="A129" s="2">
        <v>43944</v>
      </c>
      <c r="B129" s="41">
        <v>0.64583333333333337</v>
      </c>
      <c r="C129" t="s">
        <v>652</v>
      </c>
      <c r="D129" t="s">
        <v>590</v>
      </c>
      <c r="E129" t="s">
        <v>598</v>
      </c>
      <c r="F129" s="1">
        <v>0</v>
      </c>
    </row>
    <row r="130" spans="1:6" x14ac:dyDescent="0.3">
      <c r="A130" s="2">
        <v>43945</v>
      </c>
      <c r="B130" s="41">
        <v>0.85902777777777783</v>
      </c>
      <c r="C130" t="s">
        <v>651</v>
      </c>
      <c r="D130" t="s">
        <v>587</v>
      </c>
      <c r="E130" t="s">
        <v>622</v>
      </c>
      <c r="F130" s="1">
        <v>0</v>
      </c>
    </row>
    <row r="131" spans="1:6" x14ac:dyDescent="0.3">
      <c r="A131" s="2">
        <v>43950</v>
      </c>
      <c r="B131" s="41">
        <v>0.5</v>
      </c>
      <c r="C131" t="s">
        <v>651</v>
      </c>
      <c r="D131" t="s">
        <v>585</v>
      </c>
      <c r="E131" t="s">
        <v>586</v>
      </c>
      <c r="F131" s="1">
        <v>0</v>
      </c>
    </row>
    <row r="132" spans="1:6" x14ac:dyDescent="0.3">
      <c r="A132" s="2">
        <v>43951</v>
      </c>
      <c r="B132" s="41">
        <v>0.17708333333333334</v>
      </c>
      <c r="C132" t="s">
        <v>651</v>
      </c>
      <c r="D132" t="s">
        <v>587</v>
      </c>
      <c r="E132" t="s">
        <v>618</v>
      </c>
      <c r="F132" s="1">
        <v>0</v>
      </c>
    </row>
    <row r="133" spans="1:6" x14ac:dyDescent="0.3">
      <c r="A133" s="2">
        <v>43951</v>
      </c>
      <c r="B133" s="41">
        <v>0.24305555555555555</v>
      </c>
      <c r="C133" t="s">
        <v>651</v>
      </c>
      <c r="D133" t="s">
        <v>587</v>
      </c>
      <c r="E133" t="s">
        <v>624</v>
      </c>
      <c r="F133" s="1">
        <v>0</v>
      </c>
    </row>
    <row r="134" spans="1:6" x14ac:dyDescent="0.3">
      <c r="A134" s="2">
        <v>43953</v>
      </c>
      <c r="B134" s="41">
        <v>0.4861111111111111</v>
      </c>
      <c r="C134" t="s">
        <v>651</v>
      </c>
      <c r="D134" t="s">
        <v>594</v>
      </c>
      <c r="E134" t="s">
        <v>591</v>
      </c>
      <c r="F134" s="1">
        <v>1</v>
      </c>
    </row>
    <row r="135" spans="1:6" x14ac:dyDescent="0.3">
      <c r="A135" s="2">
        <v>43954</v>
      </c>
      <c r="B135" s="41">
        <v>0.48958333333333331</v>
      </c>
      <c r="C135" t="s">
        <v>649</v>
      </c>
      <c r="D135" t="s">
        <v>599</v>
      </c>
      <c r="E135" t="s">
        <v>624</v>
      </c>
      <c r="F135" s="1">
        <v>0</v>
      </c>
    </row>
    <row r="136" spans="1:6" x14ac:dyDescent="0.3">
      <c r="A136" s="2">
        <v>43954</v>
      </c>
      <c r="B136" s="41">
        <v>0.55208333333333337</v>
      </c>
      <c r="C136" t="s">
        <v>652</v>
      </c>
      <c r="D136" t="s">
        <v>599</v>
      </c>
      <c r="E136" t="s">
        <v>586</v>
      </c>
      <c r="F136" s="1">
        <v>0</v>
      </c>
    </row>
    <row r="137" spans="1:6" x14ac:dyDescent="0.3">
      <c r="A137" s="2">
        <v>43954</v>
      </c>
      <c r="B137" s="41">
        <v>0.83680555555555547</v>
      </c>
      <c r="C137" t="s">
        <v>650</v>
      </c>
      <c r="D137" t="s">
        <v>599</v>
      </c>
      <c r="E137" t="s">
        <v>586</v>
      </c>
      <c r="F137" s="1">
        <v>0</v>
      </c>
    </row>
    <row r="138" spans="1:6" x14ac:dyDescent="0.3">
      <c r="A138" s="2">
        <v>43961</v>
      </c>
      <c r="B138" s="41">
        <v>0.76527777777777783</v>
      </c>
      <c r="C138" t="s">
        <v>652</v>
      </c>
      <c r="D138" t="s">
        <v>590</v>
      </c>
      <c r="E138" t="s">
        <v>586</v>
      </c>
      <c r="F138" s="1">
        <v>0</v>
      </c>
    </row>
    <row r="139" spans="1:6" x14ac:dyDescent="0.3">
      <c r="A139" s="2">
        <v>43962</v>
      </c>
      <c r="B139" s="41">
        <v>0.39583333333333331</v>
      </c>
      <c r="C139" t="s">
        <v>652</v>
      </c>
      <c r="D139" t="s">
        <v>590</v>
      </c>
      <c r="E139" t="s">
        <v>618</v>
      </c>
      <c r="F139" s="1">
        <v>0</v>
      </c>
    </row>
    <row r="140" spans="1:6" x14ac:dyDescent="0.3">
      <c r="A140" s="2">
        <v>43962</v>
      </c>
      <c r="B140" s="41">
        <v>0.50208333333333333</v>
      </c>
      <c r="C140" t="s">
        <v>649</v>
      </c>
      <c r="D140" t="s">
        <v>587</v>
      </c>
      <c r="E140" t="s">
        <v>603</v>
      </c>
      <c r="F140" s="1">
        <v>0</v>
      </c>
    </row>
    <row r="141" spans="1:6" x14ac:dyDescent="0.3">
      <c r="A141" s="2">
        <v>43963</v>
      </c>
      <c r="B141" s="41">
        <v>0.38194444444444442</v>
      </c>
      <c r="C141" t="s">
        <v>649</v>
      </c>
      <c r="D141" t="s">
        <v>587</v>
      </c>
      <c r="E141" t="s">
        <v>591</v>
      </c>
      <c r="F141" s="1">
        <v>0</v>
      </c>
    </row>
    <row r="142" spans="1:6" x14ac:dyDescent="0.3">
      <c r="A142" s="2">
        <v>43965</v>
      </c>
      <c r="B142" s="41">
        <v>0.41666666666666669</v>
      </c>
      <c r="C142" t="s">
        <v>650</v>
      </c>
      <c r="D142" t="s">
        <v>587</v>
      </c>
      <c r="E142" t="s">
        <v>586</v>
      </c>
      <c r="F142" s="1">
        <v>0</v>
      </c>
    </row>
    <row r="143" spans="1:6" x14ac:dyDescent="0.3">
      <c r="A143" s="2">
        <v>43968</v>
      </c>
      <c r="B143" s="41">
        <v>0.91319444444444453</v>
      </c>
      <c r="C143" t="s">
        <v>650</v>
      </c>
      <c r="D143" t="s">
        <v>587</v>
      </c>
      <c r="E143" t="s">
        <v>618</v>
      </c>
      <c r="F143" s="1">
        <v>0</v>
      </c>
    </row>
    <row r="144" spans="1:6" x14ac:dyDescent="0.3">
      <c r="A144" s="2">
        <v>43969</v>
      </c>
      <c r="B144" s="41">
        <v>0.45833333333333331</v>
      </c>
      <c r="C144" t="s">
        <v>650</v>
      </c>
      <c r="D144" t="s">
        <v>609</v>
      </c>
      <c r="E144" t="s">
        <v>586</v>
      </c>
      <c r="F144" s="1">
        <v>0</v>
      </c>
    </row>
    <row r="145" spans="1:6" x14ac:dyDescent="0.3">
      <c r="A145" s="2">
        <v>43971</v>
      </c>
      <c r="B145" s="41">
        <v>0.12986111111111112</v>
      </c>
      <c r="C145" t="s">
        <v>652</v>
      </c>
      <c r="D145" t="s">
        <v>614</v>
      </c>
      <c r="E145" t="s">
        <v>586</v>
      </c>
      <c r="F145" s="1">
        <v>0</v>
      </c>
    </row>
    <row r="146" spans="1:6" x14ac:dyDescent="0.3">
      <c r="A146" s="2">
        <v>43971</v>
      </c>
      <c r="B146" s="41">
        <v>0.13194444444444445</v>
      </c>
      <c r="C146" t="s">
        <v>650</v>
      </c>
      <c r="D146" t="s">
        <v>585</v>
      </c>
      <c r="E146" t="s">
        <v>586</v>
      </c>
      <c r="F146" s="1">
        <v>0</v>
      </c>
    </row>
    <row r="147" spans="1:6" x14ac:dyDescent="0.3">
      <c r="A147" s="2">
        <v>43977</v>
      </c>
      <c r="B147" s="41">
        <v>0.43541666666666662</v>
      </c>
      <c r="C147" t="s">
        <v>650</v>
      </c>
      <c r="D147" t="s">
        <v>606</v>
      </c>
      <c r="E147" t="s">
        <v>618</v>
      </c>
      <c r="F147" s="1">
        <v>0</v>
      </c>
    </row>
    <row r="148" spans="1:6" x14ac:dyDescent="0.3">
      <c r="A148" s="2">
        <v>43977</v>
      </c>
      <c r="B148" s="41">
        <v>0.4375</v>
      </c>
      <c r="C148" t="s">
        <v>651</v>
      </c>
      <c r="D148" t="s">
        <v>606</v>
      </c>
      <c r="E148" t="s">
        <v>618</v>
      </c>
      <c r="F148" s="1">
        <v>0</v>
      </c>
    </row>
    <row r="149" spans="1:6" x14ac:dyDescent="0.3">
      <c r="A149" s="2">
        <v>43979</v>
      </c>
      <c r="B149" s="41">
        <v>0.69791666666666663</v>
      </c>
      <c r="C149" t="s">
        <v>650</v>
      </c>
      <c r="D149" t="s">
        <v>590</v>
      </c>
      <c r="E149" t="s">
        <v>624</v>
      </c>
      <c r="F149" s="1">
        <v>0</v>
      </c>
    </row>
    <row r="150" spans="1:6" x14ac:dyDescent="0.3">
      <c r="A150" s="2">
        <v>43984</v>
      </c>
      <c r="B150" s="41">
        <v>0.45833333333333331</v>
      </c>
      <c r="C150" t="s">
        <v>649</v>
      </c>
      <c r="D150" t="s">
        <v>587</v>
      </c>
      <c r="E150" t="s">
        <v>586</v>
      </c>
      <c r="F150" s="1">
        <v>0</v>
      </c>
    </row>
    <row r="151" spans="1:6" x14ac:dyDescent="0.3">
      <c r="A151" s="2">
        <v>43984</v>
      </c>
      <c r="B151" s="41">
        <v>0.75</v>
      </c>
      <c r="C151" t="s">
        <v>650</v>
      </c>
      <c r="D151" t="s">
        <v>590</v>
      </c>
      <c r="E151" t="s">
        <v>591</v>
      </c>
      <c r="F151" s="1">
        <v>0</v>
      </c>
    </row>
    <row r="152" spans="1:6" x14ac:dyDescent="0.3">
      <c r="A152" s="2">
        <v>43985</v>
      </c>
      <c r="B152" s="41">
        <v>0.625</v>
      </c>
      <c r="C152" t="s">
        <v>650</v>
      </c>
      <c r="D152" t="s">
        <v>611</v>
      </c>
      <c r="E152" t="s">
        <v>586</v>
      </c>
      <c r="F152" s="1">
        <v>0</v>
      </c>
    </row>
    <row r="153" spans="1:6" x14ac:dyDescent="0.3">
      <c r="A153" s="2">
        <v>43986</v>
      </c>
      <c r="B153" s="41">
        <v>0.5</v>
      </c>
      <c r="C153" t="s">
        <v>652</v>
      </c>
      <c r="D153" t="s">
        <v>599</v>
      </c>
      <c r="E153" t="s">
        <v>586</v>
      </c>
      <c r="F153" s="1">
        <v>0</v>
      </c>
    </row>
    <row r="154" spans="1:6" x14ac:dyDescent="0.3">
      <c r="A154" s="2">
        <v>43987</v>
      </c>
      <c r="B154" s="41">
        <v>0.33194444444444443</v>
      </c>
      <c r="C154" t="s">
        <v>652</v>
      </c>
      <c r="D154" t="s">
        <v>588</v>
      </c>
      <c r="E154" t="s">
        <v>586</v>
      </c>
      <c r="F154" s="1">
        <v>0</v>
      </c>
    </row>
    <row r="155" spans="1:6" x14ac:dyDescent="0.3">
      <c r="A155" s="2">
        <v>43987</v>
      </c>
      <c r="B155" s="41">
        <v>0.55902777777777779</v>
      </c>
      <c r="C155" t="s">
        <v>652</v>
      </c>
      <c r="D155" t="s">
        <v>588</v>
      </c>
      <c r="E155" t="s">
        <v>598</v>
      </c>
      <c r="F155" s="1">
        <v>0</v>
      </c>
    </row>
    <row r="156" spans="1:6" x14ac:dyDescent="0.3">
      <c r="A156" s="2">
        <v>43991</v>
      </c>
      <c r="B156" s="41">
        <v>0.5</v>
      </c>
      <c r="C156" t="s">
        <v>652</v>
      </c>
      <c r="D156" t="s">
        <v>588</v>
      </c>
      <c r="E156" t="s">
        <v>586</v>
      </c>
      <c r="F156" s="1">
        <v>0</v>
      </c>
    </row>
    <row r="157" spans="1:6" x14ac:dyDescent="0.3">
      <c r="A157" s="2">
        <v>43991</v>
      </c>
      <c r="B157" s="41">
        <v>0.61041666666666672</v>
      </c>
      <c r="C157" t="s">
        <v>651</v>
      </c>
      <c r="D157" t="s">
        <v>592</v>
      </c>
      <c r="E157" t="s">
        <v>618</v>
      </c>
      <c r="F157" s="1">
        <v>0</v>
      </c>
    </row>
    <row r="158" spans="1:6" x14ac:dyDescent="0.3">
      <c r="A158" s="2">
        <v>43991</v>
      </c>
      <c r="B158" s="41">
        <v>0.82291666666666663</v>
      </c>
      <c r="C158" t="s">
        <v>650</v>
      </c>
      <c r="D158" t="s">
        <v>587</v>
      </c>
      <c r="E158" t="s">
        <v>586</v>
      </c>
      <c r="F158" s="1">
        <v>1</v>
      </c>
    </row>
    <row r="159" spans="1:6" x14ac:dyDescent="0.3">
      <c r="A159" s="2">
        <v>43993</v>
      </c>
      <c r="B159" s="41">
        <v>0.42152777777777778</v>
      </c>
      <c r="C159" t="s">
        <v>651</v>
      </c>
      <c r="D159" t="s">
        <v>587</v>
      </c>
      <c r="E159" t="s">
        <v>586</v>
      </c>
      <c r="F159" s="1">
        <v>0</v>
      </c>
    </row>
    <row r="160" spans="1:6" x14ac:dyDescent="0.3">
      <c r="A160" s="2">
        <v>43993</v>
      </c>
      <c r="B160" s="41">
        <v>0.54861111111111105</v>
      </c>
      <c r="C160" t="s">
        <v>650</v>
      </c>
      <c r="D160" t="s">
        <v>604</v>
      </c>
      <c r="E160" t="s">
        <v>605</v>
      </c>
      <c r="F160" s="1">
        <v>0</v>
      </c>
    </row>
    <row r="161" spans="1:6" x14ac:dyDescent="0.3">
      <c r="A161" s="2">
        <v>43994</v>
      </c>
      <c r="B161" s="41">
        <v>0.39374999999999999</v>
      </c>
      <c r="C161" t="s">
        <v>651</v>
      </c>
      <c r="D161" t="s">
        <v>615</v>
      </c>
      <c r="E161" t="s">
        <v>586</v>
      </c>
      <c r="F161" s="1">
        <v>0</v>
      </c>
    </row>
    <row r="162" spans="1:6" x14ac:dyDescent="0.3">
      <c r="A162" s="2">
        <v>43994</v>
      </c>
      <c r="B162" s="41">
        <v>0.54027777777777775</v>
      </c>
      <c r="C162" t="s">
        <v>649</v>
      </c>
      <c r="D162" t="s">
        <v>587</v>
      </c>
      <c r="E162" t="s">
        <v>586</v>
      </c>
      <c r="F162" s="1">
        <v>1</v>
      </c>
    </row>
    <row r="163" spans="1:6" x14ac:dyDescent="0.3">
      <c r="A163" s="2">
        <v>43998</v>
      </c>
      <c r="B163" s="41">
        <v>0.44444444444444442</v>
      </c>
      <c r="C163" t="s">
        <v>652</v>
      </c>
      <c r="D163" t="s">
        <v>590</v>
      </c>
      <c r="E163" t="s">
        <v>618</v>
      </c>
      <c r="F163" s="1">
        <v>4</v>
      </c>
    </row>
    <row r="164" spans="1:6" x14ac:dyDescent="0.3">
      <c r="A164" s="2">
        <v>43999</v>
      </c>
      <c r="B164" s="41">
        <v>0.66666666666666663</v>
      </c>
      <c r="C164" t="s">
        <v>650</v>
      </c>
      <c r="D164" t="s">
        <v>587</v>
      </c>
      <c r="E164" t="s">
        <v>608</v>
      </c>
      <c r="F164" s="1">
        <v>1</v>
      </c>
    </row>
    <row r="165" spans="1:6" x14ac:dyDescent="0.3">
      <c r="A165" s="2">
        <v>44002</v>
      </c>
      <c r="B165" s="41">
        <v>0.59027777777777779</v>
      </c>
      <c r="C165" t="s">
        <v>652</v>
      </c>
      <c r="D165" t="s">
        <v>616</v>
      </c>
      <c r="E165" t="s">
        <v>586</v>
      </c>
      <c r="F165" s="1">
        <v>0</v>
      </c>
    </row>
    <row r="166" spans="1:6" x14ac:dyDescent="0.3">
      <c r="A166" s="2">
        <v>44002</v>
      </c>
      <c r="B166" s="41">
        <v>0.72986111111111107</v>
      </c>
      <c r="C166" t="s">
        <v>650</v>
      </c>
      <c r="D166" t="s">
        <v>590</v>
      </c>
      <c r="E166" t="s">
        <v>586</v>
      </c>
      <c r="F166" s="1">
        <v>0</v>
      </c>
    </row>
    <row r="167" spans="1:6" x14ac:dyDescent="0.3">
      <c r="A167" s="2">
        <v>44004</v>
      </c>
      <c r="B167" s="41">
        <v>0.51736111111111105</v>
      </c>
      <c r="C167" t="s">
        <v>650</v>
      </c>
      <c r="D167" t="s">
        <v>587</v>
      </c>
      <c r="E167" t="s">
        <v>623</v>
      </c>
      <c r="F167" s="1">
        <v>0</v>
      </c>
    </row>
    <row r="168" spans="1:6" x14ac:dyDescent="0.3">
      <c r="A168" s="2">
        <v>44005</v>
      </c>
      <c r="B168" s="41">
        <v>0.56527777777777777</v>
      </c>
      <c r="C168" t="s">
        <v>651</v>
      </c>
      <c r="D168" t="s">
        <v>617</v>
      </c>
      <c r="E168" t="s">
        <v>586</v>
      </c>
      <c r="F168" s="1">
        <v>0</v>
      </c>
    </row>
    <row r="169" spans="1:6" x14ac:dyDescent="0.3">
      <c r="A169" s="2">
        <v>44005</v>
      </c>
      <c r="B169" s="41">
        <v>0.72777777777777775</v>
      </c>
      <c r="C169" t="s">
        <v>652</v>
      </c>
      <c r="D169" t="s">
        <v>602</v>
      </c>
      <c r="E169" t="s">
        <v>586</v>
      </c>
      <c r="F169" s="1">
        <v>0</v>
      </c>
    </row>
    <row r="170" spans="1:6" x14ac:dyDescent="0.3">
      <c r="A170" s="2">
        <v>44005</v>
      </c>
      <c r="B170" s="41">
        <v>0.75624999999999998</v>
      </c>
      <c r="C170" t="s">
        <v>650</v>
      </c>
      <c r="D170" t="s">
        <v>590</v>
      </c>
      <c r="E170" t="s">
        <v>622</v>
      </c>
      <c r="F170" s="1">
        <v>1</v>
      </c>
    </row>
    <row r="171" spans="1:6" x14ac:dyDescent="0.3">
      <c r="A171" s="2">
        <v>44008</v>
      </c>
      <c r="B171" s="41">
        <v>0.61111111111111105</v>
      </c>
      <c r="C171" t="s">
        <v>650</v>
      </c>
      <c r="D171" t="s">
        <v>606</v>
      </c>
      <c r="E171" t="s">
        <v>586</v>
      </c>
      <c r="F171" s="1">
        <v>0</v>
      </c>
    </row>
    <row r="172" spans="1:6" x14ac:dyDescent="0.3">
      <c r="A172" s="2">
        <v>44010</v>
      </c>
      <c r="B172" s="41">
        <v>0.4375</v>
      </c>
      <c r="C172" t="s">
        <v>650</v>
      </c>
      <c r="D172" t="s">
        <v>621</v>
      </c>
      <c r="E172" t="s">
        <v>618</v>
      </c>
      <c r="F172" s="1">
        <v>0</v>
      </c>
    </row>
    <row r="173" spans="1:6" x14ac:dyDescent="0.3">
      <c r="A173" s="2">
        <v>44011</v>
      </c>
      <c r="B173" s="41">
        <v>0.61875000000000002</v>
      </c>
      <c r="C173" t="s">
        <v>650</v>
      </c>
      <c r="D173" t="s">
        <v>590</v>
      </c>
      <c r="E173" t="s">
        <v>598</v>
      </c>
      <c r="F173" s="1">
        <v>0</v>
      </c>
    </row>
    <row r="174" spans="1:6" x14ac:dyDescent="0.3">
      <c r="A174" s="2">
        <v>44011</v>
      </c>
      <c r="B174" s="41">
        <v>0.8125</v>
      </c>
      <c r="C174" t="s">
        <v>652</v>
      </c>
      <c r="D174" t="s">
        <v>599</v>
      </c>
      <c r="E174" t="s">
        <v>586</v>
      </c>
      <c r="F174" s="1">
        <v>0</v>
      </c>
    </row>
    <row r="175" spans="1:6" x14ac:dyDescent="0.3">
      <c r="A175" s="2">
        <v>44012</v>
      </c>
      <c r="B175" s="41">
        <v>0.67708333333333337</v>
      </c>
      <c r="C175" t="s">
        <v>650</v>
      </c>
      <c r="D175" t="s">
        <v>587</v>
      </c>
      <c r="E175" t="s">
        <v>586</v>
      </c>
      <c r="F175" s="1">
        <v>0</v>
      </c>
    </row>
    <row r="176" spans="1:6" x14ac:dyDescent="0.3">
      <c r="A176" s="2">
        <v>44012</v>
      </c>
      <c r="B176" s="41">
        <v>0.74305555555555547</v>
      </c>
      <c r="C176" t="s">
        <v>651</v>
      </c>
      <c r="D176" t="s">
        <v>600</v>
      </c>
      <c r="E176" t="s">
        <v>586</v>
      </c>
      <c r="F176" s="1">
        <v>0</v>
      </c>
    </row>
    <row r="177" spans="1:6" x14ac:dyDescent="0.3">
      <c r="A177" s="2">
        <v>44012</v>
      </c>
      <c r="B177" s="41">
        <v>0.9375</v>
      </c>
      <c r="C177" t="s">
        <v>651</v>
      </c>
      <c r="D177" t="s">
        <v>585</v>
      </c>
      <c r="E177" t="s">
        <v>618</v>
      </c>
      <c r="F177" s="1">
        <v>0</v>
      </c>
    </row>
    <row r="178" spans="1:6" x14ac:dyDescent="0.3">
      <c r="A178" s="2">
        <v>44013</v>
      </c>
      <c r="B178" s="41">
        <v>0.94930555555555562</v>
      </c>
      <c r="C178" t="s">
        <v>651</v>
      </c>
      <c r="D178" t="s">
        <v>613</v>
      </c>
      <c r="E178" t="s">
        <v>586</v>
      </c>
      <c r="F178" s="1">
        <v>0</v>
      </c>
    </row>
    <row r="179" spans="1:6" x14ac:dyDescent="0.3">
      <c r="A179" s="2">
        <v>44014</v>
      </c>
      <c r="B179" s="41">
        <v>0.55902777777777779</v>
      </c>
      <c r="C179" t="s">
        <v>651</v>
      </c>
      <c r="D179" t="s">
        <v>593</v>
      </c>
      <c r="E179" t="s">
        <v>586</v>
      </c>
      <c r="F179" s="1">
        <v>1</v>
      </c>
    </row>
    <row r="180" spans="1:6" x14ac:dyDescent="0.3">
      <c r="A180" s="2">
        <v>44017</v>
      </c>
      <c r="B180" s="41">
        <v>0.16666666666666666</v>
      </c>
      <c r="C180" t="s">
        <v>650</v>
      </c>
      <c r="D180" t="s">
        <v>590</v>
      </c>
      <c r="E180" t="s">
        <v>622</v>
      </c>
      <c r="F180" s="1">
        <v>0</v>
      </c>
    </row>
    <row r="181" spans="1:6" x14ac:dyDescent="0.3">
      <c r="A181" s="2">
        <v>44018</v>
      </c>
      <c r="B181" s="41">
        <v>0.35347222222222219</v>
      </c>
      <c r="C181" t="s">
        <v>651</v>
      </c>
      <c r="D181" t="s">
        <v>617</v>
      </c>
      <c r="E181" t="s">
        <v>618</v>
      </c>
      <c r="F181" s="1">
        <v>1</v>
      </c>
    </row>
    <row r="182" spans="1:6" x14ac:dyDescent="0.3">
      <c r="A182" s="2">
        <v>44021</v>
      </c>
      <c r="B182" s="41">
        <v>0.44930555555555557</v>
      </c>
      <c r="C182" t="s">
        <v>650</v>
      </c>
      <c r="D182" t="s">
        <v>587</v>
      </c>
      <c r="E182" t="s">
        <v>608</v>
      </c>
      <c r="F182" s="1">
        <v>0</v>
      </c>
    </row>
    <row r="183" spans="1:6" x14ac:dyDescent="0.3">
      <c r="A183" s="2">
        <v>44022</v>
      </c>
      <c r="B183" s="41">
        <v>0.41666666666666669</v>
      </c>
      <c r="C183" t="s">
        <v>649</v>
      </c>
      <c r="D183" t="s">
        <v>602</v>
      </c>
      <c r="E183" t="s">
        <v>622</v>
      </c>
      <c r="F183" s="1">
        <v>0</v>
      </c>
    </row>
    <row r="184" spans="1:6" x14ac:dyDescent="0.3">
      <c r="A184" s="2">
        <v>44022</v>
      </c>
      <c r="B184" s="41">
        <v>0.72222222222222221</v>
      </c>
      <c r="C184" t="s">
        <v>651</v>
      </c>
      <c r="D184" t="s">
        <v>590</v>
      </c>
      <c r="E184" t="s">
        <v>618</v>
      </c>
      <c r="F184" s="1">
        <v>0</v>
      </c>
    </row>
    <row r="185" spans="1:6" x14ac:dyDescent="0.3">
      <c r="A185" s="2">
        <v>44023</v>
      </c>
      <c r="B185" s="41">
        <v>0.1076388888888889</v>
      </c>
      <c r="C185" t="s">
        <v>652</v>
      </c>
      <c r="D185" t="s">
        <v>593</v>
      </c>
      <c r="E185" t="s">
        <v>586</v>
      </c>
      <c r="F185" s="1">
        <v>1</v>
      </c>
    </row>
    <row r="186" spans="1:6" x14ac:dyDescent="0.3">
      <c r="A186" s="2">
        <v>44023</v>
      </c>
      <c r="B186" s="41">
        <v>0.57986111111111105</v>
      </c>
      <c r="C186" t="s">
        <v>650</v>
      </c>
      <c r="D186" t="s">
        <v>590</v>
      </c>
      <c r="E186" t="s">
        <v>586</v>
      </c>
      <c r="F186" s="1">
        <v>0</v>
      </c>
    </row>
    <row r="187" spans="1:6" x14ac:dyDescent="0.3">
      <c r="A187" s="2">
        <v>44025</v>
      </c>
      <c r="B187" s="41">
        <v>0.19999999999999998</v>
      </c>
      <c r="C187" t="s">
        <v>650</v>
      </c>
      <c r="D187" t="s">
        <v>585</v>
      </c>
      <c r="E187" t="s">
        <v>586</v>
      </c>
      <c r="F187" s="1">
        <v>0</v>
      </c>
    </row>
    <row r="188" spans="1:6" x14ac:dyDescent="0.3">
      <c r="A188" s="2">
        <v>44026</v>
      </c>
      <c r="B188" s="41">
        <v>0.47916666666666669</v>
      </c>
      <c r="C188" t="s">
        <v>649</v>
      </c>
      <c r="D188" t="s">
        <v>616</v>
      </c>
      <c r="E188" t="s">
        <v>618</v>
      </c>
      <c r="F188" s="1">
        <v>0</v>
      </c>
    </row>
    <row r="189" spans="1:6" x14ac:dyDescent="0.3">
      <c r="A189" s="2">
        <v>44026</v>
      </c>
      <c r="B189" s="41">
        <v>0.71527777777777779</v>
      </c>
      <c r="C189" t="s">
        <v>650</v>
      </c>
      <c r="D189" t="s">
        <v>590</v>
      </c>
      <c r="E189" t="s">
        <v>598</v>
      </c>
      <c r="F189" s="1">
        <v>0</v>
      </c>
    </row>
    <row r="190" spans="1:6" x14ac:dyDescent="0.3">
      <c r="A190" s="2">
        <v>44028</v>
      </c>
      <c r="B190" s="41">
        <v>0.41875000000000001</v>
      </c>
      <c r="C190" t="s">
        <v>649</v>
      </c>
      <c r="D190" t="s">
        <v>587</v>
      </c>
      <c r="E190" t="s">
        <v>624</v>
      </c>
      <c r="F190" s="1">
        <v>1</v>
      </c>
    </row>
    <row r="191" spans="1:6" x14ac:dyDescent="0.3">
      <c r="A191" s="2">
        <v>44029</v>
      </c>
      <c r="B191" s="41">
        <v>1.3888888888888888E-2</v>
      </c>
      <c r="C191" t="s">
        <v>652</v>
      </c>
      <c r="D191" t="s">
        <v>615</v>
      </c>
      <c r="E191" t="s">
        <v>586</v>
      </c>
      <c r="F191" s="1">
        <v>0</v>
      </c>
    </row>
    <row r="192" spans="1:6" x14ac:dyDescent="0.3">
      <c r="A192" s="2">
        <v>44029</v>
      </c>
      <c r="B192" s="41">
        <v>0.34027777777777773</v>
      </c>
      <c r="C192" t="s">
        <v>650</v>
      </c>
      <c r="D192" t="s">
        <v>587</v>
      </c>
      <c r="E192" t="s">
        <v>586</v>
      </c>
      <c r="F192" s="1">
        <v>0</v>
      </c>
    </row>
    <row r="193" spans="1:6" x14ac:dyDescent="0.3">
      <c r="A193" s="2">
        <v>44029</v>
      </c>
      <c r="B193" s="41">
        <v>0.66666666666666663</v>
      </c>
      <c r="C193" t="s">
        <v>649</v>
      </c>
      <c r="D193" t="s">
        <v>587</v>
      </c>
      <c r="E193" t="s">
        <v>598</v>
      </c>
      <c r="F193" s="1">
        <v>0</v>
      </c>
    </row>
    <row r="194" spans="1:6" x14ac:dyDescent="0.3">
      <c r="A194" s="2">
        <v>44029</v>
      </c>
      <c r="B194" s="41">
        <v>0.79513888888888884</v>
      </c>
      <c r="C194" t="s">
        <v>650</v>
      </c>
      <c r="D194" t="s">
        <v>611</v>
      </c>
      <c r="E194" t="s">
        <v>586</v>
      </c>
      <c r="F194" s="1">
        <v>0</v>
      </c>
    </row>
    <row r="195" spans="1:6" x14ac:dyDescent="0.3">
      <c r="A195" s="2">
        <v>44030</v>
      </c>
      <c r="B195" s="41">
        <v>0.57291666666666663</v>
      </c>
      <c r="C195" t="s">
        <v>651</v>
      </c>
      <c r="D195" t="s">
        <v>590</v>
      </c>
      <c r="E195" t="s">
        <v>586</v>
      </c>
      <c r="F195" s="1">
        <v>0</v>
      </c>
    </row>
    <row r="196" spans="1:6" x14ac:dyDescent="0.3">
      <c r="A196" s="2">
        <v>44031</v>
      </c>
      <c r="B196" s="41">
        <v>0.53125</v>
      </c>
      <c r="C196" t="s">
        <v>653</v>
      </c>
      <c r="D196" t="s">
        <v>590</v>
      </c>
      <c r="E196" t="s">
        <v>586</v>
      </c>
      <c r="F196" s="1">
        <v>0</v>
      </c>
    </row>
    <row r="197" spans="1:6" x14ac:dyDescent="0.3">
      <c r="A197" s="2">
        <v>44032</v>
      </c>
      <c r="B197" s="41">
        <v>0.3263888888888889</v>
      </c>
      <c r="C197" t="s">
        <v>650</v>
      </c>
      <c r="D197" t="s">
        <v>590</v>
      </c>
      <c r="E197" t="s">
        <v>618</v>
      </c>
      <c r="F197" s="1">
        <v>2</v>
      </c>
    </row>
    <row r="198" spans="1:6" x14ac:dyDescent="0.3">
      <c r="A198" s="2">
        <v>44033</v>
      </c>
      <c r="B198" s="41">
        <v>0.34722222222222227</v>
      </c>
      <c r="C198" t="s">
        <v>650</v>
      </c>
      <c r="D198" t="s">
        <v>587</v>
      </c>
      <c r="E198" t="s">
        <v>586</v>
      </c>
      <c r="F198" s="1">
        <v>0</v>
      </c>
    </row>
    <row r="199" spans="1:6" x14ac:dyDescent="0.3">
      <c r="A199" s="2">
        <v>44033</v>
      </c>
      <c r="B199" s="41">
        <v>0.76874999999999993</v>
      </c>
      <c r="C199" t="s">
        <v>651</v>
      </c>
      <c r="D199" t="s">
        <v>587</v>
      </c>
      <c r="E199" t="s">
        <v>586</v>
      </c>
      <c r="F199" s="1">
        <v>0</v>
      </c>
    </row>
    <row r="200" spans="1:6" x14ac:dyDescent="0.3">
      <c r="A200" s="2">
        <v>44033</v>
      </c>
      <c r="B200" s="41">
        <v>0.91666666666666663</v>
      </c>
      <c r="C200" t="s">
        <v>649</v>
      </c>
      <c r="D200" t="s">
        <v>604</v>
      </c>
      <c r="E200" t="s">
        <v>610</v>
      </c>
      <c r="F200" s="1">
        <v>1</v>
      </c>
    </row>
    <row r="201" spans="1:6" x14ac:dyDescent="0.3">
      <c r="A201" s="2">
        <v>44034</v>
      </c>
      <c r="B201" s="41">
        <v>0.70486111111111116</v>
      </c>
      <c r="C201" t="s">
        <v>649</v>
      </c>
      <c r="D201" t="s">
        <v>587</v>
      </c>
      <c r="E201" t="s">
        <v>586</v>
      </c>
      <c r="F201" s="1">
        <v>1</v>
      </c>
    </row>
    <row r="202" spans="1:6" x14ac:dyDescent="0.3">
      <c r="A202" s="26"/>
      <c r="B202" s="35"/>
    </row>
    <row r="203" spans="1:6" x14ac:dyDescent="0.3">
      <c r="A203" s="26"/>
      <c r="B203" s="35"/>
    </row>
    <row r="204" spans="1:6" x14ac:dyDescent="0.3">
      <c r="A204" s="26"/>
      <c r="B204" s="35"/>
    </row>
    <row r="205" spans="1:6" x14ac:dyDescent="0.3">
      <c r="A205" s="26"/>
      <c r="B205" s="35"/>
    </row>
    <row r="206" spans="1:6" x14ac:dyDescent="0.3">
      <c r="A206" s="26"/>
      <c r="B206" s="35"/>
    </row>
    <row r="207" spans="1:6" x14ac:dyDescent="0.3">
      <c r="A207" s="26"/>
      <c r="B207" s="35"/>
    </row>
    <row r="208" spans="1:6" x14ac:dyDescent="0.3">
      <c r="A208" s="26"/>
      <c r="B208" s="35"/>
    </row>
    <row r="209" spans="1:2" x14ac:dyDescent="0.3">
      <c r="A209" s="26"/>
      <c r="B209" s="35"/>
    </row>
    <row r="210" spans="1:2" x14ac:dyDescent="0.3">
      <c r="A210" s="26"/>
      <c r="B210" s="35"/>
    </row>
    <row r="211" spans="1:2" x14ac:dyDescent="0.3">
      <c r="A211" s="26"/>
      <c r="B211" s="35"/>
    </row>
    <row r="212" spans="1:2" x14ac:dyDescent="0.3">
      <c r="A212" s="26"/>
      <c r="B212" s="35"/>
    </row>
    <row r="213" spans="1:2" x14ac:dyDescent="0.3">
      <c r="A213" s="26"/>
      <c r="B213" s="35"/>
    </row>
    <row r="214" spans="1:2" x14ac:dyDescent="0.3">
      <c r="A214" s="26"/>
      <c r="B214" s="35"/>
    </row>
    <row r="215" spans="1:2" x14ac:dyDescent="0.3">
      <c r="A215" s="26"/>
      <c r="B215" s="35"/>
    </row>
    <row r="216" spans="1:2" x14ac:dyDescent="0.3">
      <c r="A216" s="26"/>
      <c r="B216" s="35"/>
    </row>
    <row r="217" spans="1:2" x14ac:dyDescent="0.3">
      <c r="A217" s="26"/>
      <c r="B217" s="35"/>
    </row>
    <row r="218" spans="1:2" x14ac:dyDescent="0.3">
      <c r="A218" s="26"/>
      <c r="B218" s="35"/>
    </row>
    <row r="219" spans="1:2" x14ac:dyDescent="0.3">
      <c r="A219" s="26"/>
      <c r="B219" s="35"/>
    </row>
    <row r="220" spans="1:2" x14ac:dyDescent="0.3">
      <c r="A220" s="26"/>
      <c r="B220" s="35"/>
    </row>
    <row r="221" spans="1:2" x14ac:dyDescent="0.3">
      <c r="A221" s="26"/>
      <c r="B221" s="35"/>
    </row>
    <row r="222" spans="1:2" x14ac:dyDescent="0.3">
      <c r="A222" s="26"/>
      <c r="B222" s="35"/>
    </row>
    <row r="223" spans="1:2" x14ac:dyDescent="0.3">
      <c r="A223" s="26"/>
      <c r="B223" s="35"/>
    </row>
    <row r="224" spans="1:2" x14ac:dyDescent="0.3">
      <c r="A224" s="26"/>
      <c r="B224" s="35"/>
    </row>
    <row r="225" spans="1:2" x14ac:dyDescent="0.3">
      <c r="A225" s="26"/>
      <c r="B225" s="35"/>
    </row>
    <row r="226" spans="1:2" x14ac:dyDescent="0.3">
      <c r="A226" s="26"/>
      <c r="B226" s="35"/>
    </row>
    <row r="227" spans="1:2" x14ac:dyDescent="0.3">
      <c r="A227" s="26"/>
      <c r="B227" s="35"/>
    </row>
    <row r="228" spans="1:2" x14ac:dyDescent="0.3">
      <c r="A228" s="26"/>
      <c r="B228" s="35"/>
    </row>
    <row r="229" spans="1:2" x14ac:dyDescent="0.3">
      <c r="A229" s="26"/>
      <c r="B229" s="35"/>
    </row>
    <row r="230" spans="1:2" x14ac:dyDescent="0.3">
      <c r="A230" s="26"/>
      <c r="B230" s="35"/>
    </row>
  </sheetData>
  <mergeCells count="1">
    <mergeCell ref="A1:F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6BA0F-4C61-4309-84AD-B4AC648BA68A}">
  <sheetPr>
    <tabColor rgb="FFFF9999"/>
  </sheetPr>
  <dimension ref="A1:F178"/>
  <sheetViews>
    <sheetView workbookViewId="0">
      <selection sqref="A1:F1"/>
    </sheetView>
  </sheetViews>
  <sheetFormatPr defaultRowHeight="14.4" x14ac:dyDescent="0.3"/>
  <cols>
    <col min="1" max="1" width="11.88671875" bestFit="1" customWidth="1"/>
    <col min="3" max="3" width="14.6640625" bestFit="1" customWidth="1"/>
    <col min="4" max="4" width="50.5546875" bestFit="1" customWidth="1"/>
    <col min="5" max="5" width="14.6640625" bestFit="1" customWidth="1"/>
    <col min="6" max="6" width="18.88671875" bestFit="1" customWidth="1"/>
  </cols>
  <sheetData>
    <row r="1" spans="1:6" ht="18" x14ac:dyDescent="0.35">
      <c r="A1" s="50" t="s">
        <v>629</v>
      </c>
      <c r="B1" s="50"/>
      <c r="C1" s="50"/>
      <c r="D1" s="50"/>
      <c r="E1" s="50"/>
      <c r="F1" s="50"/>
    </row>
    <row r="2" spans="1:6" x14ac:dyDescent="0.3">
      <c r="A2" s="36" t="s">
        <v>579</v>
      </c>
      <c r="B2" s="36" t="s">
        <v>580</v>
      </c>
      <c r="C2" s="36" t="s">
        <v>581</v>
      </c>
      <c r="D2" s="36" t="s">
        <v>583</v>
      </c>
      <c r="E2" s="36" t="s">
        <v>584</v>
      </c>
      <c r="F2" s="36" t="s">
        <v>582</v>
      </c>
    </row>
    <row r="3" spans="1:6" x14ac:dyDescent="0.3">
      <c r="A3" s="2">
        <v>43831</v>
      </c>
      <c r="B3" s="41">
        <v>9.9999999999999992E-2</v>
      </c>
      <c r="C3" t="s">
        <v>651</v>
      </c>
      <c r="D3" t="s">
        <v>587</v>
      </c>
      <c r="E3" t="s">
        <v>622</v>
      </c>
      <c r="F3" s="1">
        <v>3</v>
      </c>
    </row>
    <row r="4" spans="1:6" x14ac:dyDescent="0.3">
      <c r="A4" s="2">
        <v>43833</v>
      </c>
      <c r="B4" s="41">
        <v>0.22222222222222221</v>
      </c>
      <c r="C4" t="s">
        <v>649</v>
      </c>
      <c r="D4" t="s">
        <v>587</v>
      </c>
      <c r="E4" t="s">
        <v>608</v>
      </c>
      <c r="F4" s="1">
        <v>1</v>
      </c>
    </row>
    <row r="5" spans="1:6" x14ac:dyDescent="0.3">
      <c r="A5" s="2">
        <v>43834</v>
      </c>
      <c r="B5" s="41">
        <v>0.19583333333333333</v>
      </c>
      <c r="C5" t="s">
        <v>649</v>
      </c>
      <c r="D5" t="s">
        <v>587</v>
      </c>
      <c r="E5" t="s">
        <v>586</v>
      </c>
      <c r="F5" s="1">
        <v>0</v>
      </c>
    </row>
    <row r="6" spans="1:6" x14ac:dyDescent="0.3">
      <c r="A6" s="2">
        <v>43835</v>
      </c>
      <c r="B6" s="41">
        <v>0.28333333333333333</v>
      </c>
      <c r="C6" t="s">
        <v>651</v>
      </c>
      <c r="D6" t="s">
        <v>593</v>
      </c>
      <c r="E6" t="s">
        <v>586</v>
      </c>
      <c r="F6" s="1">
        <v>2</v>
      </c>
    </row>
    <row r="7" spans="1:6" x14ac:dyDescent="0.3">
      <c r="A7" s="2">
        <v>43835</v>
      </c>
      <c r="B7" s="41">
        <v>0.33333333333333331</v>
      </c>
      <c r="C7" t="s">
        <v>652</v>
      </c>
      <c r="D7" t="s">
        <v>588</v>
      </c>
      <c r="E7" t="s">
        <v>622</v>
      </c>
      <c r="F7" s="1">
        <v>0</v>
      </c>
    </row>
    <row r="8" spans="1:6" x14ac:dyDescent="0.3">
      <c r="A8" s="2">
        <v>43835</v>
      </c>
      <c r="B8" s="41">
        <v>0.71180555555555547</v>
      </c>
      <c r="C8" t="s">
        <v>649</v>
      </c>
      <c r="D8" t="s">
        <v>609</v>
      </c>
      <c r="E8" t="s">
        <v>586</v>
      </c>
      <c r="F8" s="1">
        <v>0</v>
      </c>
    </row>
    <row r="9" spans="1:6" x14ac:dyDescent="0.3">
      <c r="A9" s="2">
        <v>43837</v>
      </c>
      <c r="B9" s="41">
        <v>0.875</v>
      </c>
      <c r="C9" t="s">
        <v>650</v>
      </c>
      <c r="D9" t="s">
        <v>604</v>
      </c>
      <c r="E9" t="s">
        <v>586</v>
      </c>
      <c r="F9" s="1">
        <v>0</v>
      </c>
    </row>
    <row r="10" spans="1:6" x14ac:dyDescent="0.3">
      <c r="A10" s="2">
        <v>43838</v>
      </c>
      <c r="B10" s="41">
        <v>0.75</v>
      </c>
      <c r="C10" t="s">
        <v>650</v>
      </c>
      <c r="D10" t="s">
        <v>587</v>
      </c>
      <c r="E10" t="s">
        <v>586</v>
      </c>
      <c r="F10" s="1">
        <v>0</v>
      </c>
    </row>
    <row r="11" spans="1:6" x14ac:dyDescent="0.3">
      <c r="A11" s="2">
        <v>43838</v>
      </c>
      <c r="B11" s="41">
        <v>0.94374999999999998</v>
      </c>
      <c r="C11" t="s">
        <v>651</v>
      </c>
      <c r="D11" t="s">
        <v>609</v>
      </c>
      <c r="E11" t="s">
        <v>586</v>
      </c>
      <c r="F11" s="1">
        <v>0</v>
      </c>
    </row>
    <row r="12" spans="1:6" x14ac:dyDescent="0.3">
      <c r="A12" s="2">
        <v>43839</v>
      </c>
      <c r="B12" s="41">
        <v>1.3888888888888889E-3</v>
      </c>
      <c r="C12" t="s">
        <v>649</v>
      </c>
      <c r="D12" t="s">
        <v>593</v>
      </c>
      <c r="E12" t="s">
        <v>586</v>
      </c>
      <c r="F12" s="1">
        <v>1</v>
      </c>
    </row>
    <row r="13" spans="1:6" x14ac:dyDescent="0.3">
      <c r="A13" s="2">
        <v>43839</v>
      </c>
      <c r="B13" s="41">
        <v>0.58333333333333337</v>
      </c>
      <c r="C13" t="s">
        <v>649</v>
      </c>
      <c r="D13" t="s">
        <v>587</v>
      </c>
      <c r="E13" t="s">
        <v>591</v>
      </c>
      <c r="F13" s="1">
        <v>0</v>
      </c>
    </row>
    <row r="14" spans="1:6" x14ac:dyDescent="0.3">
      <c r="A14" s="2">
        <v>43840</v>
      </c>
      <c r="B14" s="41">
        <v>0.54861111111111105</v>
      </c>
      <c r="C14" t="s">
        <v>649</v>
      </c>
      <c r="D14" t="s">
        <v>592</v>
      </c>
      <c r="E14" t="s">
        <v>624</v>
      </c>
      <c r="F14" s="1">
        <v>0</v>
      </c>
    </row>
    <row r="15" spans="1:6" x14ac:dyDescent="0.3">
      <c r="A15" s="2">
        <v>43840</v>
      </c>
      <c r="B15" s="41">
        <v>0.85069444444444453</v>
      </c>
      <c r="C15" t="s">
        <v>652</v>
      </c>
      <c r="D15" t="s">
        <v>587</v>
      </c>
      <c r="E15" t="s">
        <v>591</v>
      </c>
      <c r="F15" s="1">
        <v>1</v>
      </c>
    </row>
    <row r="16" spans="1:6" x14ac:dyDescent="0.3">
      <c r="A16" s="2">
        <v>43840</v>
      </c>
      <c r="B16" s="41">
        <v>0.85486111111111107</v>
      </c>
      <c r="C16" t="s">
        <v>649</v>
      </c>
      <c r="D16" t="s">
        <v>587</v>
      </c>
      <c r="E16" t="s">
        <v>622</v>
      </c>
      <c r="F16" s="1">
        <v>0</v>
      </c>
    </row>
    <row r="17" spans="1:6" x14ac:dyDescent="0.3">
      <c r="A17" s="2">
        <v>43840</v>
      </c>
      <c r="B17" s="41">
        <v>0.98333333333333339</v>
      </c>
      <c r="C17" t="s">
        <v>650</v>
      </c>
      <c r="D17" t="s">
        <v>587</v>
      </c>
      <c r="E17" t="s">
        <v>586</v>
      </c>
      <c r="F17" s="1">
        <v>0</v>
      </c>
    </row>
    <row r="18" spans="1:6" x14ac:dyDescent="0.3">
      <c r="A18" s="2">
        <v>43841</v>
      </c>
      <c r="B18" s="41">
        <v>0.47222222222222227</v>
      </c>
      <c r="C18" t="s">
        <v>652</v>
      </c>
      <c r="D18" t="s">
        <v>587</v>
      </c>
      <c r="E18" t="s">
        <v>622</v>
      </c>
      <c r="F18" s="1">
        <v>1</v>
      </c>
    </row>
    <row r="19" spans="1:6" x14ac:dyDescent="0.3">
      <c r="A19" s="2">
        <v>43842</v>
      </c>
      <c r="B19" s="41">
        <v>0.71180555555555547</v>
      </c>
      <c r="C19" t="s">
        <v>649</v>
      </c>
      <c r="D19" t="s">
        <v>587</v>
      </c>
      <c r="E19" t="s">
        <v>586</v>
      </c>
      <c r="F19" s="1">
        <v>0</v>
      </c>
    </row>
    <row r="20" spans="1:6" x14ac:dyDescent="0.3">
      <c r="A20" s="2">
        <v>43842</v>
      </c>
      <c r="B20" s="41">
        <v>0.79166666666666663</v>
      </c>
      <c r="C20" t="s">
        <v>652</v>
      </c>
      <c r="D20" t="s">
        <v>587</v>
      </c>
      <c r="E20" t="s">
        <v>586</v>
      </c>
      <c r="F20" s="1">
        <v>0</v>
      </c>
    </row>
    <row r="21" spans="1:6" x14ac:dyDescent="0.3">
      <c r="A21" s="2">
        <v>43843</v>
      </c>
      <c r="B21" s="41">
        <v>6.9444444444444434E-2</v>
      </c>
      <c r="C21" t="s">
        <v>652</v>
      </c>
      <c r="D21" t="s">
        <v>617</v>
      </c>
      <c r="E21" t="s">
        <v>622</v>
      </c>
      <c r="F21" s="1">
        <v>1</v>
      </c>
    </row>
    <row r="22" spans="1:6" x14ac:dyDescent="0.3">
      <c r="A22" s="2">
        <v>43844</v>
      </c>
      <c r="B22" s="41">
        <v>0.30555555555555552</v>
      </c>
      <c r="C22" t="s">
        <v>651</v>
      </c>
      <c r="D22" t="s">
        <v>609</v>
      </c>
      <c r="E22" t="s">
        <v>586</v>
      </c>
      <c r="F22" s="1">
        <v>0</v>
      </c>
    </row>
    <row r="23" spans="1:6" x14ac:dyDescent="0.3">
      <c r="A23" s="2">
        <v>43844</v>
      </c>
      <c r="B23" s="41">
        <v>0.5756944444444444</v>
      </c>
      <c r="C23" t="s">
        <v>652</v>
      </c>
      <c r="D23" t="s">
        <v>592</v>
      </c>
      <c r="E23" t="s">
        <v>586</v>
      </c>
      <c r="F23" s="1">
        <v>0</v>
      </c>
    </row>
    <row r="24" spans="1:6" x14ac:dyDescent="0.3">
      <c r="A24" s="2">
        <v>43845</v>
      </c>
      <c r="B24" s="41">
        <v>0.81388888888888899</v>
      </c>
      <c r="C24" t="s">
        <v>649</v>
      </c>
      <c r="D24" t="s">
        <v>592</v>
      </c>
      <c r="E24" t="s">
        <v>607</v>
      </c>
      <c r="F24" s="1">
        <v>1</v>
      </c>
    </row>
    <row r="25" spans="1:6" x14ac:dyDescent="0.3">
      <c r="A25" s="2">
        <v>43845</v>
      </c>
      <c r="B25" s="41">
        <v>0.82291666666666663</v>
      </c>
      <c r="C25" t="s">
        <v>652</v>
      </c>
      <c r="D25" t="s">
        <v>587</v>
      </c>
      <c r="E25" t="s">
        <v>586</v>
      </c>
      <c r="F25" s="1">
        <v>1</v>
      </c>
    </row>
    <row r="26" spans="1:6" x14ac:dyDescent="0.3">
      <c r="A26" s="2">
        <v>43846</v>
      </c>
      <c r="B26" s="41">
        <v>0.46875</v>
      </c>
      <c r="C26" t="s">
        <v>652</v>
      </c>
      <c r="D26" t="s">
        <v>609</v>
      </c>
      <c r="E26" t="s">
        <v>586</v>
      </c>
      <c r="F26" s="1">
        <v>0</v>
      </c>
    </row>
    <row r="27" spans="1:6" x14ac:dyDescent="0.3">
      <c r="A27" s="2">
        <v>43846</v>
      </c>
      <c r="B27" s="41">
        <v>0.52430555555555558</v>
      </c>
      <c r="C27" t="s">
        <v>649</v>
      </c>
      <c r="D27" t="s">
        <v>587</v>
      </c>
      <c r="E27" t="s">
        <v>586</v>
      </c>
      <c r="F27" s="1">
        <v>0</v>
      </c>
    </row>
    <row r="28" spans="1:6" x14ac:dyDescent="0.3">
      <c r="A28" s="2">
        <v>43846</v>
      </c>
      <c r="B28" s="41">
        <v>0.64513888888888882</v>
      </c>
      <c r="C28" t="s">
        <v>651</v>
      </c>
      <c r="D28" t="s">
        <v>585</v>
      </c>
      <c r="E28" t="s">
        <v>586</v>
      </c>
      <c r="F28" s="1">
        <v>0</v>
      </c>
    </row>
    <row r="29" spans="1:6" x14ac:dyDescent="0.3">
      <c r="A29" s="2">
        <v>43849</v>
      </c>
      <c r="B29" s="41">
        <v>0.21319444444444444</v>
      </c>
      <c r="C29" t="s">
        <v>651</v>
      </c>
      <c r="D29" t="s">
        <v>609</v>
      </c>
      <c r="E29" t="s">
        <v>622</v>
      </c>
      <c r="F29" s="1">
        <v>0</v>
      </c>
    </row>
    <row r="30" spans="1:6" x14ac:dyDescent="0.3">
      <c r="A30" s="2">
        <v>43849</v>
      </c>
      <c r="B30" s="41">
        <v>0.64583333333333337</v>
      </c>
      <c r="C30" t="s">
        <v>649</v>
      </c>
      <c r="D30" t="s">
        <v>587</v>
      </c>
      <c r="E30" t="s">
        <v>586</v>
      </c>
      <c r="F30" s="1">
        <v>0</v>
      </c>
    </row>
    <row r="31" spans="1:6" x14ac:dyDescent="0.3">
      <c r="A31" s="2">
        <v>43851</v>
      </c>
      <c r="B31" s="41">
        <v>0.47916666666666669</v>
      </c>
      <c r="C31" t="s">
        <v>649</v>
      </c>
      <c r="D31" t="s">
        <v>587</v>
      </c>
      <c r="E31" t="s">
        <v>591</v>
      </c>
      <c r="F31" s="1">
        <v>0</v>
      </c>
    </row>
    <row r="32" spans="1:6" x14ac:dyDescent="0.3">
      <c r="A32" s="2">
        <v>43852</v>
      </c>
      <c r="B32" s="41">
        <v>0.1875</v>
      </c>
      <c r="C32" t="s">
        <v>649</v>
      </c>
      <c r="D32" t="s">
        <v>609</v>
      </c>
      <c r="E32" t="s">
        <v>586</v>
      </c>
      <c r="F32" s="1">
        <v>0</v>
      </c>
    </row>
    <row r="33" spans="1:6" x14ac:dyDescent="0.3">
      <c r="A33" s="2">
        <v>43852</v>
      </c>
      <c r="B33" s="41">
        <v>0.76736111111111116</v>
      </c>
      <c r="C33" t="s">
        <v>649</v>
      </c>
      <c r="D33" t="s">
        <v>587</v>
      </c>
      <c r="E33" t="s">
        <v>622</v>
      </c>
      <c r="F33" s="1">
        <v>0</v>
      </c>
    </row>
    <row r="34" spans="1:6" x14ac:dyDescent="0.3">
      <c r="A34" s="2">
        <v>43852</v>
      </c>
      <c r="B34" s="41">
        <v>0.8208333333333333</v>
      </c>
      <c r="C34" t="s">
        <v>649</v>
      </c>
      <c r="D34" t="s">
        <v>587</v>
      </c>
      <c r="E34" t="s">
        <v>586</v>
      </c>
      <c r="F34" s="1">
        <v>0</v>
      </c>
    </row>
    <row r="35" spans="1:6" x14ac:dyDescent="0.3">
      <c r="A35" s="2">
        <v>43853</v>
      </c>
      <c r="B35" s="41">
        <v>0.34861111111111115</v>
      </c>
      <c r="C35" t="s">
        <v>649</v>
      </c>
      <c r="D35" t="s">
        <v>587</v>
      </c>
      <c r="E35" t="s">
        <v>586</v>
      </c>
      <c r="F35" s="1">
        <v>0</v>
      </c>
    </row>
    <row r="36" spans="1:6" x14ac:dyDescent="0.3">
      <c r="A36" s="2">
        <v>43854</v>
      </c>
      <c r="B36" s="41">
        <v>0.92361111111111116</v>
      </c>
      <c r="C36" t="s">
        <v>649</v>
      </c>
      <c r="D36" t="s">
        <v>587</v>
      </c>
      <c r="E36" t="s">
        <v>622</v>
      </c>
      <c r="F36" s="1">
        <v>0</v>
      </c>
    </row>
    <row r="37" spans="1:6" x14ac:dyDescent="0.3">
      <c r="A37" s="2">
        <v>43854</v>
      </c>
      <c r="B37" s="41">
        <v>0.99652777777777779</v>
      </c>
      <c r="C37" t="s">
        <v>649</v>
      </c>
      <c r="D37" t="s">
        <v>604</v>
      </c>
      <c r="E37" t="s">
        <v>586</v>
      </c>
      <c r="F37" s="1">
        <v>0</v>
      </c>
    </row>
    <row r="38" spans="1:6" x14ac:dyDescent="0.3">
      <c r="A38" s="2">
        <v>43855</v>
      </c>
      <c r="B38" s="41">
        <v>0.69374999999999998</v>
      </c>
      <c r="C38" t="s">
        <v>651</v>
      </c>
      <c r="D38" t="s">
        <v>609</v>
      </c>
      <c r="E38" t="s">
        <v>622</v>
      </c>
      <c r="F38" s="1">
        <v>0</v>
      </c>
    </row>
    <row r="39" spans="1:6" x14ac:dyDescent="0.3">
      <c r="A39" s="2">
        <v>43857</v>
      </c>
      <c r="B39" s="41">
        <v>0.65972222222222221</v>
      </c>
      <c r="C39" t="s">
        <v>649</v>
      </c>
      <c r="D39" t="s">
        <v>587</v>
      </c>
      <c r="E39" t="s">
        <v>591</v>
      </c>
      <c r="F39" s="1">
        <v>1</v>
      </c>
    </row>
    <row r="40" spans="1:6" x14ac:dyDescent="0.3">
      <c r="A40" s="2">
        <v>43858</v>
      </c>
      <c r="B40" s="41">
        <v>0.34027777777777773</v>
      </c>
      <c r="C40" t="s">
        <v>649</v>
      </c>
      <c r="D40" t="s">
        <v>611</v>
      </c>
      <c r="E40" t="s">
        <v>608</v>
      </c>
      <c r="F40" s="1">
        <v>0</v>
      </c>
    </row>
    <row r="41" spans="1:6" x14ac:dyDescent="0.3">
      <c r="A41" s="2">
        <v>43858</v>
      </c>
      <c r="B41" s="41">
        <v>0.77847222222222223</v>
      </c>
      <c r="C41" t="s">
        <v>649</v>
      </c>
      <c r="D41" t="s">
        <v>587</v>
      </c>
      <c r="E41" t="s">
        <v>622</v>
      </c>
      <c r="F41" s="1">
        <v>0</v>
      </c>
    </row>
    <row r="42" spans="1:6" x14ac:dyDescent="0.3">
      <c r="A42" s="2">
        <v>43859</v>
      </c>
      <c r="B42" s="41">
        <v>0.81597222222222221</v>
      </c>
      <c r="C42" t="s">
        <v>649</v>
      </c>
      <c r="D42" t="s">
        <v>587</v>
      </c>
      <c r="E42" t="s">
        <v>598</v>
      </c>
      <c r="F42" s="1">
        <v>0</v>
      </c>
    </row>
    <row r="43" spans="1:6" x14ac:dyDescent="0.3">
      <c r="A43" s="2">
        <v>43862</v>
      </c>
      <c r="B43" s="41">
        <v>1.6666666666666666E-2</v>
      </c>
      <c r="C43" t="s">
        <v>650</v>
      </c>
      <c r="D43" t="s">
        <v>587</v>
      </c>
      <c r="E43" t="s">
        <v>622</v>
      </c>
      <c r="F43" s="1">
        <v>1</v>
      </c>
    </row>
    <row r="44" spans="1:6" x14ac:dyDescent="0.3">
      <c r="A44" s="2">
        <v>43862</v>
      </c>
      <c r="B44" s="41">
        <v>0.41319444444444442</v>
      </c>
      <c r="C44" t="s">
        <v>649</v>
      </c>
      <c r="D44" t="s">
        <v>587</v>
      </c>
      <c r="E44" t="s">
        <v>622</v>
      </c>
      <c r="F44" s="1">
        <v>0</v>
      </c>
    </row>
    <row r="45" spans="1:6" x14ac:dyDescent="0.3">
      <c r="A45" s="2">
        <v>43863</v>
      </c>
      <c r="B45" s="41">
        <v>8.3333333333333329E-2</v>
      </c>
      <c r="C45" t="s">
        <v>649</v>
      </c>
      <c r="D45" t="s">
        <v>604</v>
      </c>
      <c r="E45" t="s">
        <v>622</v>
      </c>
      <c r="F45" s="1">
        <v>0</v>
      </c>
    </row>
    <row r="46" spans="1:6" x14ac:dyDescent="0.3">
      <c r="A46" s="2">
        <v>43863</v>
      </c>
      <c r="B46" s="41">
        <v>0.60416666666666663</v>
      </c>
      <c r="C46" t="s">
        <v>649</v>
      </c>
      <c r="D46" t="s">
        <v>611</v>
      </c>
      <c r="E46" t="s">
        <v>622</v>
      </c>
      <c r="F46" s="1">
        <v>0</v>
      </c>
    </row>
    <row r="47" spans="1:6" x14ac:dyDescent="0.3">
      <c r="A47" s="2">
        <v>43863</v>
      </c>
      <c r="B47" s="41">
        <v>0.6777777777777777</v>
      </c>
      <c r="C47" t="s">
        <v>649</v>
      </c>
      <c r="D47" t="s">
        <v>587</v>
      </c>
      <c r="E47" t="s">
        <v>586</v>
      </c>
      <c r="F47" s="1">
        <v>0</v>
      </c>
    </row>
    <row r="48" spans="1:6" x14ac:dyDescent="0.3">
      <c r="A48" s="2">
        <v>43864</v>
      </c>
      <c r="B48" s="41">
        <v>0.98125000000000007</v>
      </c>
      <c r="C48" t="s">
        <v>652</v>
      </c>
      <c r="D48" t="s">
        <v>587</v>
      </c>
      <c r="E48" t="s">
        <v>586</v>
      </c>
      <c r="F48" s="1">
        <v>0</v>
      </c>
    </row>
    <row r="49" spans="1:6" x14ac:dyDescent="0.3">
      <c r="A49" s="2">
        <v>43865</v>
      </c>
      <c r="B49" s="41">
        <v>0.76388888888888884</v>
      </c>
      <c r="C49" t="s">
        <v>649</v>
      </c>
      <c r="D49" t="s">
        <v>617</v>
      </c>
      <c r="E49" t="s">
        <v>601</v>
      </c>
      <c r="F49" s="1">
        <v>0</v>
      </c>
    </row>
    <row r="50" spans="1:6" x14ac:dyDescent="0.3">
      <c r="A50" s="2">
        <v>43866</v>
      </c>
      <c r="B50" s="41">
        <v>0.39583333333333331</v>
      </c>
      <c r="C50" t="s">
        <v>651</v>
      </c>
      <c r="D50" t="s">
        <v>616</v>
      </c>
      <c r="E50" t="s">
        <v>622</v>
      </c>
      <c r="F50" s="1">
        <v>1</v>
      </c>
    </row>
    <row r="51" spans="1:6" x14ac:dyDescent="0.3">
      <c r="A51" s="2">
        <v>43867</v>
      </c>
      <c r="B51" s="41">
        <v>0.5</v>
      </c>
      <c r="C51" t="s">
        <v>649</v>
      </c>
      <c r="D51" t="s">
        <v>587</v>
      </c>
      <c r="E51" t="s">
        <v>586</v>
      </c>
      <c r="F51" s="1">
        <v>0</v>
      </c>
    </row>
    <row r="52" spans="1:6" x14ac:dyDescent="0.3">
      <c r="A52" s="2">
        <v>43867</v>
      </c>
      <c r="B52" s="41">
        <v>0.75416666666666676</v>
      </c>
      <c r="C52" t="s">
        <v>651</v>
      </c>
      <c r="D52" t="s">
        <v>587</v>
      </c>
      <c r="E52" t="s">
        <v>622</v>
      </c>
      <c r="F52" s="1">
        <v>0</v>
      </c>
    </row>
    <row r="53" spans="1:6" x14ac:dyDescent="0.3">
      <c r="A53" s="2">
        <v>43867</v>
      </c>
      <c r="B53" s="41">
        <v>0.87152777777777779</v>
      </c>
      <c r="C53" t="s">
        <v>649</v>
      </c>
      <c r="D53" t="s">
        <v>587</v>
      </c>
      <c r="E53" t="s">
        <v>591</v>
      </c>
      <c r="F53" s="1">
        <v>1</v>
      </c>
    </row>
    <row r="54" spans="1:6" x14ac:dyDescent="0.3">
      <c r="A54" s="2">
        <v>43867</v>
      </c>
      <c r="B54" s="41">
        <v>0.97916666666666663</v>
      </c>
      <c r="C54" t="s">
        <v>649</v>
      </c>
      <c r="D54" t="s">
        <v>592</v>
      </c>
      <c r="E54" t="s">
        <v>586</v>
      </c>
      <c r="F54" s="1">
        <v>0</v>
      </c>
    </row>
    <row r="55" spans="1:6" x14ac:dyDescent="0.3">
      <c r="A55" s="2">
        <v>43868</v>
      </c>
      <c r="B55" s="41">
        <v>0.54999999999999993</v>
      </c>
      <c r="C55" t="s">
        <v>649</v>
      </c>
      <c r="D55" t="s">
        <v>587</v>
      </c>
      <c r="E55" t="s">
        <v>586</v>
      </c>
      <c r="F55" s="1">
        <v>0</v>
      </c>
    </row>
    <row r="56" spans="1:6" x14ac:dyDescent="0.3">
      <c r="A56" s="2">
        <v>43868</v>
      </c>
      <c r="B56" s="41">
        <v>0.82291666666666663</v>
      </c>
      <c r="C56" t="s">
        <v>649</v>
      </c>
      <c r="D56" t="s">
        <v>609</v>
      </c>
      <c r="E56" t="s">
        <v>622</v>
      </c>
      <c r="F56" s="1">
        <v>0</v>
      </c>
    </row>
    <row r="57" spans="1:6" x14ac:dyDescent="0.3">
      <c r="A57" s="2">
        <v>43869</v>
      </c>
      <c r="B57" s="41">
        <v>0.72222222222222221</v>
      </c>
      <c r="C57" t="s">
        <v>651</v>
      </c>
      <c r="D57" t="s">
        <v>596</v>
      </c>
      <c r="E57" t="s">
        <v>591</v>
      </c>
      <c r="F57" s="1">
        <v>1</v>
      </c>
    </row>
    <row r="58" spans="1:6" x14ac:dyDescent="0.3">
      <c r="A58" s="2">
        <v>43870</v>
      </c>
      <c r="B58" s="41">
        <v>5.2083333333333336E-2</v>
      </c>
      <c r="C58" t="s">
        <v>649</v>
      </c>
      <c r="D58" t="s">
        <v>592</v>
      </c>
      <c r="E58" t="s">
        <v>622</v>
      </c>
      <c r="F58" s="1">
        <v>0</v>
      </c>
    </row>
    <row r="59" spans="1:6" x14ac:dyDescent="0.3">
      <c r="A59" s="2">
        <v>43870</v>
      </c>
      <c r="B59" s="41">
        <v>0.62152777777777779</v>
      </c>
      <c r="C59" t="s">
        <v>650</v>
      </c>
      <c r="D59" t="s">
        <v>587</v>
      </c>
      <c r="E59" t="s">
        <v>622</v>
      </c>
      <c r="F59" s="1">
        <v>0</v>
      </c>
    </row>
    <row r="60" spans="1:6" x14ac:dyDescent="0.3">
      <c r="A60" s="2">
        <v>43871</v>
      </c>
      <c r="B60" s="41">
        <v>4.8611111111111112E-2</v>
      </c>
      <c r="C60" t="s">
        <v>649</v>
      </c>
      <c r="D60" t="s">
        <v>587</v>
      </c>
      <c r="E60" t="s">
        <v>622</v>
      </c>
      <c r="F60" s="1">
        <v>0</v>
      </c>
    </row>
    <row r="61" spans="1:6" x14ac:dyDescent="0.3">
      <c r="A61" s="2">
        <v>43871</v>
      </c>
      <c r="B61" s="41">
        <v>0.375</v>
      </c>
      <c r="C61" t="s">
        <v>651</v>
      </c>
      <c r="D61" t="s">
        <v>609</v>
      </c>
      <c r="E61" t="s">
        <v>622</v>
      </c>
      <c r="F61" s="1">
        <v>0</v>
      </c>
    </row>
    <row r="62" spans="1:6" x14ac:dyDescent="0.3">
      <c r="A62" s="2">
        <v>43873</v>
      </c>
      <c r="B62" s="41">
        <v>0.44930555555555557</v>
      </c>
      <c r="C62" t="s">
        <v>649</v>
      </c>
      <c r="D62" t="s">
        <v>587</v>
      </c>
      <c r="E62" t="s">
        <v>622</v>
      </c>
      <c r="F62" s="1">
        <v>0</v>
      </c>
    </row>
    <row r="63" spans="1:6" x14ac:dyDescent="0.3">
      <c r="A63" s="2">
        <v>43873</v>
      </c>
      <c r="B63" s="41">
        <v>0.88611111111111107</v>
      </c>
      <c r="C63" t="s">
        <v>649</v>
      </c>
      <c r="D63" t="s">
        <v>587</v>
      </c>
      <c r="E63" t="s">
        <v>608</v>
      </c>
      <c r="F63" s="1">
        <v>0</v>
      </c>
    </row>
    <row r="64" spans="1:6" x14ac:dyDescent="0.3">
      <c r="A64" s="2">
        <v>43874</v>
      </c>
      <c r="B64" s="41">
        <v>0.63194444444444442</v>
      </c>
      <c r="C64" t="s">
        <v>649</v>
      </c>
      <c r="D64" t="s">
        <v>604</v>
      </c>
      <c r="E64" t="s">
        <v>622</v>
      </c>
      <c r="F64" s="1">
        <v>0</v>
      </c>
    </row>
    <row r="65" spans="1:6" x14ac:dyDescent="0.3">
      <c r="A65" s="2">
        <v>43874</v>
      </c>
      <c r="B65" s="41">
        <v>0.83472222222222225</v>
      </c>
      <c r="C65" t="s">
        <v>649</v>
      </c>
      <c r="D65" t="s">
        <v>587</v>
      </c>
      <c r="E65" t="s">
        <v>586</v>
      </c>
      <c r="F65" s="1">
        <v>2</v>
      </c>
    </row>
    <row r="66" spans="1:6" x14ac:dyDescent="0.3">
      <c r="A66" s="2">
        <v>43875</v>
      </c>
      <c r="B66" s="41">
        <v>0.49513888888888885</v>
      </c>
      <c r="C66" t="s">
        <v>649</v>
      </c>
      <c r="D66" t="s">
        <v>602</v>
      </c>
      <c r="E66" t="s">
        <v>622</v>
      </c>
      <c r="F66" s="1">
        <v>0</v>
      </c>
    </row>
    <row r="67" spans="1:6" x14ac:dyDescent="0.3">
      <c r="A67" s="2">
        <v>43875</v>
      </c>
      <c r="B67" s="41">
        <v>0.65625</v>
      </c>
      <c r="C67" t="s">
        <v>652</v>
      </c>
      <c r="D67" t="s">
        <v>587</v>
      </c>
      <c r="E67" t="s">
        <v>586</v>
      </c>
      <c r="F67" s="1">
        <v>0</v>
      </c>
    </row>
    <row r="68" spans="1:6" x14ac:dyDescent="0.3">
      <c r="A68" s="2">
        <v>43876</v>
      </c>
      <c r="B68" s="41">
        <v>3.2638888888888891E-2</v>
      </c>
      <c r="C68" t="s">
        <v>649</v>
      </c>
      <c r="D68" t="s">
        <v>604</v>
      </c>
      <c r="E68" t="s">
        <v>622</v>
      </c>
      <c r="F68" s="1">
        <v>0</v>
      </c>
    </row>
    <row r="69" spans="1:6" x14ac:dyDescent="0.3">
      <c r="A69" s="2">
        <v>43876</v>
      </c>
      <c r="B69" s="41">
        <v>0.57361111111111118</v>
      </c>
      <c r="C69" t="s">
        <v>650</v>
      </c>
      <c r="D69" t="s">
        <v>592</v>
      </c>
      <c r="E69" t="s">
        <v>586</v>
      </c>
      <c r="F69" s="1">
        <v>0</v>
      </c>
    </row>
    <row r="70" spans="1:6" x14ac:dyDescent="0.3">
      <c r="A70" s="2">
        <v>43880</v>
      </c>
      <c r="B70" s="41">
        <v>0</v>
      </c>
      <c r="C70" t="s">
        <v>649</v>
      </c>
      <c r="D70" t="s">
        <v>604</v>
      </c>
      <c r="E70" t="s">
        <v>591</v>
      </c>
      <c r="F70" s="1">
        <v>0</v>
      </c>
    </row>
    <row r="71" spans="1:6" x14ac:dyDescent="0.3">
      <c r="A71" s="2">
        <v>43880</v>
      </c>
      <c r="B71" s="41">
        <v>0.52083333333333337</v>
      </c>
      <c r="C71" t="s">
        <v>650</v>
      </c>
      <c r="D71" t="s">
        <v>609</v>
      </c>
      <c r="E71" t="s">
        <v>586</v>
      </c>
      <c r="F71" s="1">
        <v>0</v>
      </c>
    </row>
    <row r="72" spans="1:6" x14ac:dyDescent="0.3">
      <c r="A72" s="2">
        <v>43880</v>
      </c>
      <c r="B72" s="41">
        <v>0.70486111111111116</v>
      </c>
      <c r="C72" t="s">
        <v>652</v>
      </c>
      <c r="D72" t="s">
        <v>587</v>
      </c>
      <c r="E72" t="s">
        <v>586</v>
      </c>
      <c r="F72" s="1">
        <v>0</v>
      </c>
    </row>
    <row r="73" spans="1:6" x14ac:dyDescent="0.3">
      <c r="A73" s="2">
        <v>43883</v>
      </c>
      <c r="B73" s="41">
        <v>0.89513888888888893</v>
      </c>
      <c r="C73" t="s">
        <v>649</v>
      </c>
      <c r="D73" t="s">
        <v>609</v>
      </c>
      <c r="E73" t="s">
        <v>586</v>
      </c>
      <c r="F73" s="1">
        <v>0</v>
      </c>
    </row>
    <row r="74" spans="1:6" x14ac:dyDescent="0.3">
      <c r="A74" s="2">
        <v>43885</v>
      </c>
      <c r="B74" s="41">
        <v>0.48680555555555555</v>
      </c>
      <c r="C74" t="s">
        <v>649</v>
      </c>
      <c r="D74" t="s">
        <v>602</v>
      </c>
      <c r="E74" t="s">
        <v>586</v>
      </c>
      <c r="F74" s="1">
        <v>0</v>
      </c>
    </row>
    <row r="75" spans="1:6" x14ac:dyDescent="0.3">
      <c r="A75" s="2">
        <v>43886</v>
      </c>
      <c r="B75" s="41">
        <v>0.48541666666666666</v>
      </c>
      <c r="C75" t="s">
        <v>652</v>
      </c>
      <c r="D75" t="s">
        <v>587</v>
      </c>
      <c r="E75" t="s">
        <v>622</v>
      </c>
      <c r="F75" s="1">
        <v>0</v>
      </c>
    </row>
    <row r="76" spans="1:6" x14ac:dyDescent="0.3">
      <c r="A76" s="2">
        <v>43887</v>
      </c>
      <c r="B76" s="41">
        <v>0.36805555555555558</v>
      </c>
      <c r="C76" t="s">
        <v>649</v>
      </c>
      <c r="D76" t="s">
        <v>587</v>
      </c>
      <c r="E76" t="s">
        <v>586</v>
      </c>
      <c r="F76" s="1">
        <v>0</v>
      </c>
    </row>
    <row r="77" spans="1:6" x14ac:dyDescent="0.3">
      <c r="A77" s="2">
        <v>43887</v>
      </c>
      <c r="B77" s="41">
        <v>0.4375</v>
      </c>
      <c r="C77" t="s">
        <v>649</v>
      </c>
      <c r="D77" t="s">
        <v>592</v>
      </c>
      <c r="E77" t="s">
        <v>608</v>
      </c>
      <c r="F77" s="1">
        <v>0</v>
      </c>
    </row>
    <row r="78" spans="1:6" x14ac:dyDescent="0.3">
      <c r="A78" s="2">
        <v>43888</v>
      </c>
      <c r="B78" s="41">
        <v>0.42708333333333331</v>
      </c>
      <c r="C78" t="s">
        <v>649</v>
      </c>
      <c r="D78" t="s">
        <v>587</v>
      </c>
      <c r="E78" t="s">
        <v>586</v>
      </c>
      <c r="F78" s="1">
        <v>0</v>
      </c>
    </row>
    <row r="79" spans="1:6" x14ac:dyDescent="0.3">
      <c r="A79" s="2">
        <v>43888</v>
      </c>
      <c r="B79" s="41">
        <v>0.89583333333333337</v>
      </c>
      <c r="C79" t="s">
        <v>649</v>
      </c>
      <c r="D79" t="s">
        <v>609</v>
      </c>
      <c r="E79" t="s">
        <v>622</v>
      </c>
      <c r="F79" s="1">
        <v>0</v>
      </c>
    </row>
    <row r="80" spans="1:6" x14ac:dyDescent="0.3">
      <c r="A80" s="2">
        <v>43889</v>
      </c>
      <c r="B80" s="41">
        <v>0.52847222222222223</v>
      </c>
      <c r="C80" t="s">
        <v>651</v>
      </c>
      <c r="D80" t="s">
        <v>587</v>
      </c>
      <c r="E80" t="s">
        <v>586</v>
      </c>
      <c r="F80" s="1">
        <v>0</v>
      </c>
    </row>
    <row r="81" spans="1:6" x14ac:dyDescent="0.3">
      <c r="A81" s="2">
        <v>43889</v>
      </c>
      <c r="B81" s="41">
        <v>0.72916666666666663</v>
      </c>
      <c r="C81" t="s">
        <v>649</v>
      </c>
      <c r="D81" t="s">
        <v>609</v>
      </c>
      <c r="E81" t="s">
        <v>622</v>
      </c>
      <c r="F81" s="1">
        <v>0</v>
      </c>
    </row>
    <row r="82" spans="1:6" x14ac:dyDescent="0.3">
      <c r="A82" s="2">
        <v>43889</v>
      </c>
      <c r="B82" s="41">
        <v>0.83333333333333337</v>
      </c>
      <c r="C82" t="s">
        <v>652</v>
      </c>
      <c r="D82" t="s">
        <v>587</v>
      </c>
      <c r="E82" t="s">
        <v>586</v>
      </c>
      <c r="F82" s="1">
        <v>0</v>
      </c>
    </row>
    <row r="83" spans="1:6" x14ac:dyDescent="0.3">
      <c r="A83" s="2">
        <v>43890</v>
      </c>
      <c r="B83" s="41">
        <v>9.0277777777777776E-2</v>
      </c>
      <c r="C83" t="s">
        <v>650</v>
      </c>
      <c r="D83" t="s">
        <v>587</v>
      </c>
      <c r="E83" t="s">
        <v>586</v>
      </c>
      <c r="F83" s="1">
        <v>0</v>
      </c>
    </row>
    <row r="84" spans="1:6" x14ac:dyDescent="0.3">
      <c r="A84" s="2">
        <v>43890</v>
      </c>
      <c r="B84" s="41">
        <v>0.66180555555555554</v>
      </c>
      <c r="C84" t="s">
        <v>649</v>
      </c>
      <c r="D84" t="s">
        <v>587</v>
      </c>
      <c r="E84" t="s">
        <v>591</v>
      </c>
      <c r="F84" s="1">
        <v>0</v>
      </c>
    </row>
    <row r="85" spans="1:6" x14ac:dyDescent="0.3">
      <c r="A85" s="2">
        <v>43890</v>
      </c>
      <c r="B85" s="41">
        <v>0.96527777777777779</v>
      </c>
      <c r="C85" t="s">
        <v>649</v>
      </c>
      <c r="D85" t="s">
        <v>587</v>
      </c>
      <c r="E85" t="s">
        <v>622</v>
      </c>
      <c r="F85" s="1">
        <v>0</v>
      </c>
    </row>
    <row r="86" spans="1:6" x14ac:dyDescent="0.3">
      <c r="A86" s="2">
        <v>43891</v>
      </c>
      <c r="B86" s="41">
        <v>7.9166666666666663E-2</v>
      </c>
      <c r="C86" t="s">
        <v>649</v>
      </c>
      <c r="D86" t="s">
        <v>587</v>
      </c>
      <c r="E86" t="s">
        <v>586</v>
      </c>
      <c r="F86" s="1">
        <v>0</v>
      </c>
    </row>
    <row r="87" spans="1:6" x14ac:dyDescent="0.3">
      <c r="A87" s="2">
        <v>43891</v>
      </c>
      <c r="B87" s="41">
        <v>0.8041666666666667</v>
      </c>
      <c r="C87" t="s">
        <v>651</v>
      </c>
      <c r="D87" t="s">
        <v>592</v>
      </c>
      <c r="E87" t="s">
        <v>608</v>
      </c>
      <c r="F87" s="1">
        <v>0</v>
      </c>
    </row>
    <row r="88" spans="1:6" x14ac:dyDescent="0.3">
      <c r="A88" s="2">
        <v>43891</v>
      </c>
      <c r="B88" s="41">
        <v>0.84027777777777779</v>
      </c>
      <c r="C88" t="s">
        <v>652</v>
      </c>
      <c r="D88" t="s">
        <v>604</v>
      </c>
      <c r="E88" t="s">
        <v>586</v>
      </c>
      <c r="F88" s="1">
        <v>0</v>
      </c>
    </row>
    <row r="89" spans="1:6" x14ac:dyDescent="0.3">
      <c r="A89" s="2">
        <v>43891</v>
      </c>
      <c r="B89" s="41">
        <v>0.91666666666666663</v>
      </c>
      <c r="C89" t="s">
        <v>649</v>
      </c>
      <c r="D89" t="s">
        <v>587</v>
      </c>
      <c r="E89" t="s">
        <v>622</v>
      </c>
      <c r="F89" s="1">
        <v>0</v>
      </c>
    </row>
    <row r="90" spans="1:6" x14ac:dyDescent="0.3">
      <c r="A90" s="2">
        <v>43892</v>
      </c>
      <c r="B90" s="41">
        <v>0.47986111111111113</v>
      </c>
      <c r="C90" t="s">
        <v>649</v>
      </c>
      <c r="D90" t="s">
        <v>587</v>
      </c>
      <c r="E90" t="s">
        <v>586</v>
      </c>
      <c r="F90" s="1">
        <v>0</v>
      </c>
    </row>
    <row r="91" spans="1:6" x14ac:dyDescent="0.3">
      <c r="A91" s="2">
        <v>43892</v>
      </c>
      <c r="B91" s="41">
        <v>0.5</v>
      </c>
      <c r="C91" t="s">
        <v>649</v>
      </c>
      <c r="D91" t="s">
        <v>627</v>
      </c>
      <c r="E91" t="s">
        <v>624</v>
      </c>
      <c r="F91" s="1">
        <v>0</v>
      </c>
    </row>
    <row r="92" spans="1:6" x14ac:dyDescent="0.3">
      <c r="A92" s="2">
        <v>43892</v>
      </c>
      <c r="B92" s="41">
        <v>0.61805555555555558</v>
      </c>
      <c r="C92" t="s">
        <v>649</v>
      </c>
      <c r="D92" t="s">
        <v>609</v>
      </c>
      <c r="E92" t="s">
        <v>622</v>
      </c>
      <c r="F92" s="1">
        <v>0</v>
      </c>
    </row>
    <row r="93" spans="1:6" x14ac:dyDescent="0.3">
      <c r="A93" s="2">
        <v>43893</v>
      </c>
      <c r="B93" s="41">
        <v>0.3611111111111111</v>
      </c>
      <c r="C93" t="s">
        <v>650</v>
      </c>
      <c r="D93" t="s">
        <v>606</v>
      </c>
      <c r="E93" t="s">
        <v>586</v>
      </c>
      <c r="F93" s="1">
        <v>0</v>
      </c>
    </row>
    <row r="94" spans="1:6" x14ac:dyDescent="0.3">
      <c r="A94" s="2">
        <v>43893</v>
      </c>
      <c r="B94" s="41">
        <v>0.85069444444444453</v>
      </c>
      <c r="C94" t="s">
        <v>649</v>
      </c>
      <c r="D94" t="s">
        <v>587</v>
      </c>
      <c r="E94" t="s">
        <v>622</v>
      </c>
      <c r="F94" s="1">
        <v>0</v>
      </c>
    </row>
    <row r="95" spans="1:6" x14ac:dyDescent="0.3">
      <c r="A95" s="2">
        <v>43894</v>
      </c>
      <c r="B95" s="41">
        <v>3.472222222222222E-3</v>
      </c>
      <c r="C95" t="s">
        <v>652</v>
      </c>
      <c r="D95" t="s">
        <v>588</v>
      </c>
      <c r="E95" t="s">
        <v>601</v>
      </c>
      <c r="F95" s="1">
        <v>0</v>
      </c>
    </row>
    <row r="96" spans="1:6" x14ac:dyDescent="0.3">
      <c r="A96" s="2">
        <v>43895</v>
      </c>
      <c r="B96" s="41">
        <v>0.47916666666666669</v>
      </c>
      <c r="C96" t="s">
        <v>649</v>
      </c>
      <c r="D96" t="s">
        <v>604</v>
      </c>
      <c r="E96" t="s">
        <v>601</v>
      </c>
      <c r="F96" s="1">
        <v>0</v>
      </c>
    </row>
    <row r="97" spans="1:6" x14ac:dyDescent="0.3">
      <c r="A97" s="2">
        <v>43896</v>
      </c>
      <c r="B97" s="41">
        <v>2.2222222222222223E-2</v>
      </c>
      <c r="C97" t="s">
        <v>649</v>
      </c>
      <c r="D97" t="s">
        <v>596</v>
      </c>
      <c r="E97" t="s">
        <v>622</v>
      </c>
      <c r="F97" s="1">
        <v>0</v>
      </c>
    </row>
    <row r="98" spans="1:6" x14ac:dyDescent="0.3">
      <c r="A98" s="2">
        <v>43896</v>
      </c>
      <c r="B98" s="41">
        <v>9.7916666666666666E-2</v>
      </c>
      <c r="C98" t="s">
        <v>649</v>
      </c>
      <c r="D98" t="s">
        <v>619</v>
      </c>
      <c r="E98" t="s">
        <v>598</v>
      </c>
      <c r="F98" s="1">
        <v>0</v>
      </c>
    </row>
    <row r="99" spans="1:6" x14ac:dyDescent="0.3">
      <c r="A99" s="2">
        <v>43896</v>
      </c>
      <c r="B99" s="41">
        <v>0.88194444444444453</v>
      </c>
      <c r="C99" t="s">
        <v>652</v>
      </c>
      <c r="D99" t="s">
        <v>587</v>
      </c>
      <c r="E99" t="s">
        <v>586</v>
      </c>
      <c r="F99" s="1">
        <v>1</v>
      </c>
    </row>
    <row r="100" spans="1:6" x14ac:dyDescent="0.3">
      <c r="A100" s="2">
        <v>43896</v>
      </c>
      <c r="B100" s="41">
        <v>0.89930555555555547</v>
      </c>
      <c r="C100" t="s">
        <v>649</v>
      </c>
      <c r="D100" t="s">
        <v>599</v>
      </c>
      <c r="E100" t="s">
        <v>586</v>
      </c>
      <c r="F100" s="1">
        <v>0</v>
      </c>
    </row>
    <row r="101" spans="1:6" x14ac:dyDescent="0.3">
      <c r="A101" s="2">
        <v>43897</v>
      </c>
      <c r="B101" s="41">
        <v>0.57708333333333328</v>
      </c>
      <c r="C101" t="s">
        <v>649</v>
      </c>
      <c r="D101" t="s">
        <v>588</v>
      </c>
      <c r="E101" t="s">
        <v>586</v>
      </c>
      <c r="F101" s="1">
        <v>0</v>
      </c>
    </row>
    <row r="102" spans="1:6" x14ac:dyDescent="0.3">
      <c r="A102" s="2">
        <v>43898</v>
      </c>
      <c r="B102" s="41">
        <v>0.14861111111111111</v>
      </c>
      <c r="C102" t="s">
        <v>649</v>
      </c>
      <c r="D102" t="s">
        <v>609</v>
      </c>
      <c r="E102" t="s">
        <v>622</v>
      </c>
      <c r="F102" s="1">
        <v>0</v>
      </c>
    </row>
    <row r="103" spans="1:6" x14ac:dyDescent="0.3">
      <c r="A103" s="2">
        <v>43898</v>
      </c>
      <c r="B103" s="41">
        <v>0.22361111111111109</v>
      </c>
      <c r="C103" t="s">
        <v>652</v>
      </c>
      <c r="D103" t="s">
        <v>604</v>
      </c>
      <c r="E103" t="s">
        <v>586</v>
      </c>
      <c r="F103" s="1">
        <v>0</v>
      </c>
    </row>
    <row r="104" spans="1:6" x14ac:dyDescent="0.3">
      <c r="A104" s="2">
        <v>43898</v>
      </c>
      <c r="B104" s="41">
        <v>0.83333333333333337</v>
      </c>
      <c r="C104" t="s">
        <v>649</v>
      </c>
      <c r="D104" t="s">
        <v>606</v>
      </c>
      <c r="E104" t="s">
        <v>622</v>
      </c>
      <c r="F104" s="1">
        <v>0</v>
      </c>
    </row>
    <row r="105" spans="1:6" x14ac:dyDescent="0.3">
      <c r="A105" s="2">
        <v>43898</v>
      </c>
      <c r="B105" s="41">
        <v>0.90972222222222221</v>
      </c>
      <c r="C105" t="s">
        <v>649</v>
      </c>
      <c r="D105" t="s">
        <v>587</v>
      </c>
      <c r="E105" t="s">
        <v>586</v>
      </c>
      <c r="F105" s="1">
        <v>0</v>
      </c>
    </row>
    <row r="106" spans="1:6" x14ac:dyDescent="0.3">
      <c r="A106" s="2">
        <v>43899</v>
      </c>
      <c r="B106" s="41">
        <v>2.013888888888889E-2</v>
      </c>
      <c r="C106" t="s">
        <v>649</v>
      </c>
      <c r="D106" t="s">
        <v>587</v>
      </c>
      <c r="E106" t="s">
        <v>586</v>
      </c>
      <c r="F106" s="1">
        <v>1</v>
      </c>
    </row>
    <row r="107" spans="1:6" x14ac:dyDescent="0.3">
      <c r="A107" s="2">
        <v>43899</v>
      </c>
      <c r="B107" s="41">
        <v>0.7416666666666667</v>
      </c>
      <c r="C107" t="s">
        <v>651</v>
      </c>
      <c r="D107" t="s">
        <v>592</v>
      </c>
      <c r="E107" t="s">
        <v>586</v>
      </c>
      <c r="F107" s="1">
        <v>0</v>
      </c>
    </row>
    <row r="108" spans="1:6" x14ac:dyDescent="0.3">
      <c r="A108" s="2">
        <v>43900</v>
      </c>
      <c r="B108" s="41">
        <v>0.78194444444444444</v>
      </c>
      <c r="C108" t="s">
        <v>649</v>
      </c>
      <c r="D108" t="s">
        <v>604</v>
      </c>
      <c r="E108" t="s">
        <v>586</v>
      </c>
      <c r="F108" s="1">
        <v>0</v>
      </c>
    </row>
    <row r="109" spans="1:6" x14ac:dyDescent="0.3">
      <c r="A109" s="2">
        <v>43901</v>
      </c>
      <c r="B109" s="41">
        <v>0.53055555555555556</v>
      </c>
      <c r="C109" t="s">
        <v>649</v>
      </c>
      <c r="D109" t="s">
        <v>585</v>
      </c>
      <c r="E109" t="s">
        <v>586</v>
      </c>
      <c r="F109" s="1">
        <v>0</v>
      </c>
    </row>
    <row r="110" spans="1:6" x14ac:dyDescent="0.3">
      <c r="A110" s="2">
        <v>43901</v>
      </c>
      <c r="B110" s="41">
        <v>0.68402777777777779</v>
      </c>
      <c r="C110" t="s">
        <v>649</v>
      </c>
      <c r="D110" t="s">
        <v>587</v>
      </c>
      <c r="E110" t="s">
        <v>586</v>
      </c>
      <c r="F110" s="1">
        <v>0</v>
      </c>
    </row>
    <row r="111" spans="1:6" x14ac:dyDescent="0.3">
      <c r="A111" s="2">
        <v>43901</v>
      </c>
      <c r="B111" s="41">
        <v>0.70833333333333337</v>
      </c>
      <c r="C111" t="s">
        <v>649</v>
      </c>
      <c r="D111" t="s">
        <v>609</v>
      </c>
      <c r="E111" t="s">
        <v>586</v>
      </c>
      <c r="F111" s="1">
        <v>2</v>
      </c>
    </row>
    <row r="112" spans="1:6" x14ac:dyDescent="0.3">
      <c r="A112" s="2">
        <v>43901</v>
      </c>
      <c r="B112" s="41">
        <v>0.93055555555555547</v>
      </c>
      <c r="C112" t="s">
        <v>649</v>
      </c>
      <c r="D112" t="s">
        <v>587</v>
      </c>
      <c r="E112" t="s">
        <v>591</v>
      </c>
      <c r="F112" s="1">
        <v>1</v>
      </c>
    </row>
    <row r="113" spans="1:6" x14ac:dyDescent="0.3">
      <c r="A113" s="2">
        <v>43902</v>
      </c>
      <c r="B113" s="41">
        <v>0.56944444444444442</v>
      </c>
      <c r="C113" t="s">
        <v>651</v>
      </c>
      <c r="D113" t="s">
        <v>587</v>
      </c>
      <c r="E113" t="s">
        <v>586</v>
      </c>
      <c r="F113" s="1">
        <v>0</v>
      </c>
    </row>
    <row r="114" spans="1:6" x14ac:dyDescent="0.3">
      <c r="A114" s="2">
        <v>43902</v>
      </c>
      <c r="B114" s="41">
        <v>0.99722222222222223</v>
      </c>
      <c r="C114" t="s">
        <v>649</v>
      </c>
      <c r="D114" t="s">
        <v>587</v>
      </c>
      <c r="E114" t="s">
        <v>622</v>
      </c>
      <c r="F114" s="1">
        <v>0</v>
      </c>
    </row>
    <row r="115" spans="1:6" x14ac:dyDescent="0.3">
      <c r="A115" s="2">
        <v>43903</v>
      </c>
      <c r="B115" s="41">
        <v>0.72083333333333333</v>
      </c>
      <c r="C115" t="s">
        <v>649</v>
      </c>
      <c r="D115" t="s">
        <v>587</v>
      </c>
      <c r="E115" t="s">
        <v>622</v>
      </c>
      <c r="F115" s="1">
        <v>0</v>
      </c>
    </row>
    <row r="116" spans="1:6" x14ac:dyDescent="0.3">
      <c r="A116" s="2">
        <v>43903</v>
      </c>
      <c r="B116" s="41">
        <v>0.77430555555555547</v>
      </c>
      <c r="C116" t="s">
        <v>649</v>
      </c>
      <c r="D116" t="s">
        <v>617</v>
      </c>
      <c r="E116" t="s">
        <v>591</v>
      </c>
      <c r="F116" s="1">
        <v>1</v>
      </c>
    </row>
    <row r="117" spans="1:6" x14ac:dyDescent="0.3">
      <c r="A117" s="2">
        <v>43904</v>
      </c>
      <c r="B117" s="41">
        <v>0.44444444444444442</v>
      </c>
      <c r="C117" t="s">
        <v>650</v>
      </c>
      <c r="D117" t="s">
        <v>613</v>
      </c>
      <c r="E117" t="s">
        <v>608</v>
      </c>
      <c r="F117" s="1">
        <v>0</v>
      </c>
    </row>
    <row r="118" spans="1:6" x14ac:dyDescent="0.3">
      <c r="A118" s="2">
        <v>43904</v>
      </c>
      <c r="B118" s="41">
        <v>0.92847222222222225</v>
      </c>
      <c r="C118" t="s">
        <v>651</v>
      </c>
      <c r="D118" t="s">
        <v>587</v>
      </c>
      <c r="E118" t="s">
        <v>607</v>
      </c>
      <c r="F118" s="1">
        <v>2</v>
      </c>
    </row>
    <row r="119" spans="1:6" x14ac:dyDescent="0.3">
      <c r="A119" s="2">
        <v>43905</v>
      </c>
      <c r="B119" s="41">
        <v>0.69444444444444453</v>
      </c>
      <c r="C119" t="s">
        <v>652</v>
      </c>
      <c r="D119" t="s">
        <v>587</v>
      </c>
      <c r="E119" t="s">
        <v>586</v>
      </c>
      <c r="F119" s="1">
        <v>0</v>
      </c>
    </row>
    <row r="120" spans="1:6" x14ac:dyDescent="0.3">
      <c r="A120" s="2">
        <v>43906</v>
      </c>
      <c r="B120" s="41">
        <v>3.0555555555555555E-2</v>
      </c>
      <c r="C120" t="s">
        <v>649</v>
      </c>
      <c r="D120" t="s">
        <v>587</v>
      </c>
      <c r="E120" t="s">
        <v>598</v>
      </c>
      <c r="F120" s="1">
        <v>0</v>
      </c>
    </row>
    <row r="121" spans="1:6" x14ac:dyDescent="0.3">
      <c r="A121" s="2">
        <v>43910</v>
      </c>
      <c r="B121" s="41">
        <v>0</v>
      </c>
      <c r="C121" t="s">
        <v>649</v>
      </c>
      <c r="D121" t="s">
        <v>611</v>
      </c>
      <c r="E121" t="s">
        <v>591</v>
      </c>
      <c r="F121" s="1">
        <v>1</v>
      </c>
    </row>
    <row r="122" spans="1:6" x14ac:dyDescent="0.3">
      <c r="A122" s="2">
        <v>43910</v>
      </c>
      <c r="B122" s="41">
        <v>0.36805555555555558</v>
      </c>
      <c r="C122" t="s">
        <v>649</v>
      </c>
      <c r="D122" t="s">
        <v>587</v>
      </c>
      <c r="E122" t="s">
        <v>586</v>
      </c>
      <c r="F122" s="1">
        <v>1</v>
      </c>
    </row>
    <row r="123" spans="1:6" x14ac:dyDescent="0.3">
      <c r="A123" s="2">
        <v>43911</v>
      </c>
      <c r="B123" s="41">
        <v>0.65277777777777779</v>
      </c>
      <c r="C123" t="s">
        <v>649</v>
      </c>
      <c r="D123" t="s">
        <v>602</v>
      </c>
      <c r="E123" t="s">
        <v>601</v>
      </c>
      <c r="F123" s="1">
        <v>0</v>
      </c>
    </row>
    <row r="124" spans="1:6" x14ac:dyDescent="0.3">
      <c r="A124" s="2">
        <v>43911</v>
      </c>
      <c r="B124" s="41">
        <v>0.875</v>
      </c>
      <c r="C124" t="s">
        <v>651</v>
      </c>
      <c r="D124" t="s">
        <v>587</v>
      </c>
      <c r="E124" t="s">
        <v>586</v>
      </c>
      <c r="F124" s="1">
        <v>0</v>
      </c>
    </row>
    <row r="125" spans="1:6" x14ac:dyDescent="0.3">
      <c r="A125" s="2">
        <v>43912</v>
      </c>
      <c r="B125" s="41">
        <v>0.3888888888888889</v>
      </c>
      <c r="C125" t="s">
        <v>651</v>
      </c>
      <c r="D125" t="s">
        <v>609</v>
      </c>
      <c r="E125" t="s">
        <v>586</v>
      </c>
      <c r="F125" s="1">
        <v>1</v>
      </c>
    </row>
    <row r="126" spans="1:6" x14ac:dyDescent="0.3">
      <c r="A126" s="2">
        <v>43917</v>
      </c>
      <c r="B126" s="41">
        <v>0.73402777777777783</v>
      </c>
      <c r="C126" t="s">
        <v>649</v>
      </c>
      <c r="D126" t="s">
        <v>587</v>
      </c>
      <c r="E126" t="s">
        <v>607</v>
      </c>
      <c r="F126" s="1">
        <v>0</v>
      </c>
    </row>
    <row r="127" spans="1:6" x14ac:dyDescent="0.3">
      <c r="A127" s="2">
        <v>43918</v>
      </c>
      <c r="B127" s="41">
        <v>0.625</v>
      </c>
      <c r="C127" t="s">
        <v>650</v>
      </c>
      <c r="D127" t="s">
        <v>587</v>
      </c>
      <c r="E127" t="s">
        <v>586</v>
      </c>
      <c r="F127" s="1">
        <v>0</v>
      </c>
    </row>
    <row r="128" spans="1:6" x14ac:dyDescent="0.3">
      <c r="A128" s="2">
        <v>43918</v>
      </c>
      <c r="B128" s="41">
        <v>0.93055555555555547</v>
      </c>
      <c r="C128" t="s">
        <v>649</v>
      </c>
      <c r="D128" t="s">
        <v>616</v>
      </c>
      <c r="E128" t="s">
        <v>622</v>
      </c>
      <c r="F128" s="1">
        <v>0</v>
      </c>
    </row>
    <row r="129" spans="1:6" x14ac:dyDescent="0.3">
      <c r="A129" s="2">
        <v>43935</v>
      </c>
      <c r="B129" s="41">
        <v>0.85416666666666663</v>
      </c>
      <c r="C129" t="s">
        <v>650</v>
      </c>
      <c r="D129" t="s">
        <v>587</v>
      </c>
      <c r="E129" t="s">
        <v>591</v>
      </c>
      <c r="F129" s="1">
        <v>1</v>
      </c>
    </row>
    <row r="130" spans="1:6" x14ac:dyDescent="0.3">
      <c r="A130" s="2">
        <v>43937</v>
      </c>
      <c r="B130" s="41">
        <v>0.51736111111111105</v>
      </c>
      <c r="C130" t="s">
        <v>651</v>
      </c>
      <c r="D130" t="s">
        <v>595</v>
      </c>
      <c r="E130" t="s">
        <v>628</v>
      </c>
      <c r="F130" s="1">
        <v>1</v>
      </c>
    </row>
    <row r="131" spans="1:6" x14ac:dyDescent="0.3">
      <c r="A131" s="2">
        <v>43951</v>
      </c>
      <c r="B131" s="41">
        <v>0.27013888888888887</v>
      </c>
      <c r="C131" t="s">
        <v>649</v>
      </c>
      <c r="D131" t="s">
        <v>587</v>
      </c>
      <c r="E131" t="s">
        <v>622</v>
      </c>
      <c r="F131" s="1">
        <v>0</v>
      </c>
    </row>
    <row r="132" spans="1:6" x14ac:dyDescent="0.3">
      <c r="A132" s="2">
        <v>43953</v>
      </c>
      <c r="B132" s="41">
        <v>0.61597222222222225</v>
      </c>
      <c r="C132" t="s">
        <v>649</v>
      </c>
      <c r="D132" t="s">
        <v>587</v>
      </c>
      <c r="E132" t="s">
        <v>591</v>
      </c>
      <c r="F132" s="1">
        <v>1</v>
      </c>
    </row>
    <row r="133" spans="1:6" x14ac:dyDescent="0.3">
      <c r="A133" s="2">
        <v>43964</v>
      </c>
      <c r="B133" s="41">
        <v>0.89583333333333337</v>
      </c>
      <c r="C133" t="s">
        <v>651</v>
      </c>
      <c r="D133" t="s">
        <v>609</v>
      </c>
      <c r="E133" t="s">
        <v>586</v>
      </c>
      <c r="F133" s="1">
        <v>3</v>
      </c>
    </row>
    <row r="134" spans="1:6" x14ac:dyDescent="0.3">
      <c r="A134" s="2">
        <v>43964</v>
      </c>
      <c r="B134" s="41">
        <v>0.94305555555555554</v>
      </c>
      <c r="C134" t="s">
        <v>650</v>
      </c>
      <c r="D134" t="s">
        <v>592</v>
      </c>
      <c r="E134" t="s">
        <v>586</v>
      </c>
      <c r="F134" s="1">
        <v>0</v>
      </c>
    </row>
    <row r="135" spans="1:6" x14ac:dyDescent="0.3">
      <c r="A135" s="2">
        <v>43967</v>
      </c>
      <c r="B135" s="41">
        <v>0.70833333333333337</v>
      </c>
      <c r="C135" t="s">
        <v>651</v>
      </c>
      <c r="D135" t="s">
        <v>596</v>
      </c>
      <c r="E135" t="s">
        <v>591</v>
      </c>
      <c r="F135" s="1">
        <v>1</v>
      </c>
    </row>
    <row r="136" spans="1:6" x14ac:dyDescent="0.3">
      <c r="A136" s="2">
        <v>43969</v>
      </c>
      <c r="B136" s="41">
        <v>0.65347222222222223</v>
      </c>
      <c r="C136" t="s">
        <v>651</v>
      </c>
      <c r="D136" t="s">
        <v>599</v>
      </c>
      <c r="E136" t="s">
        <v>586</v>
      </c>
      <c r="F136" s="1">
        <v>0</v>
      </c>
    </row>
    <row r="137" spans="1:6" x14ac:dyDescent="0.3">
      <c r="A137" s="2">
        <v>43971</v>
      </c>
      <c r="B137" s="41">
        <v>0.15486111111111112</v>
      </c>
      <c r="C137" t="s">
        <v>650</v>
      </c>
      <c r="D137" t="s">
        <v>588</v>
      </c>
      <c r="E137" t="s">
        <v>605</v>
      </c>
      <c r="F137" s="1">
        <v>0</v>
      </c>
    </row>
    <row r="138" spans="1:6" x14ac:dyDescent="0.3">
      <c r="A138" s="2">
        <v>43973</v>
      </c>
      <c r="B138" s="41">
        <v>0.99722222222222223</v>
      </c>
      <c r="C138" t="s">
        <v>650</v>
      </c>
      <c r="D138" t="s">
        <v>587</v>
      </c>
      <c r="E138" t="s">
        <v>586</v>
      </c>
      <c r="F138" s="1">
        <v>1</v>
      </c>
    </row>
    <row r="139" spans="1:6" x14ac:dyDescent="0.3">
      <c r="A139" s="2">
        <v>43974</v>
      </c>
      <c r="B139" s="41">
        <v>0.72916666666666663</v>
      </c>
      <c r="C139" t="s">
        <v>652</v>
      </c>
      <c r="D139" t="s">
        <v>606</v>
      </c>
      <c r="E139" t="s">
        <v>586</v>
      </c>
      <c r="F139" s="1">
        <v>0</v>
      </c>
    </row>
    <row r="140" spans="1:6" x14ac:dyDescent="0.3">
      <c r="A140" s="2">
        <v>43976</v>
      </c>
      <c r="B140" s="41">
        <v>0.78819444444444453</v>
      </c>
      <c r="C140" t="s">
        <v>651</v>
      </c>
      <c r="D140" t="s">
        <v>609</v>
      </c>
      <c r="E140" t="s">
        <v>586</v>
      </c>
      <c r="F140" s="1">
        <v>0</v>
      </c>
    </row>
    <row r="141" spans="1:6" x14ac:dyDescent="0.3">
      <c r="A141" s="2">
        <v>43982</v>
      </c>
      <c r="B141" s="41">
        <v>3.125E-2</v>
      </c>
      <c r="C141" t="s">
        <v>652</v>
      </c>
      <c r="D141" t="s">
        <v>609</v>
      </c>
      <c r="E141" t="s">
        <v>586</v>
      </c>
      <c r="F141" s="1">
        <v>0</v>
      </c>
    </row>
    <row r="142" spans="1:6" x14ac:dyDescent="0.3">
      <c r="A142" s="2">
        <v>43982</v>
      </c>
      <c r="B142" s="41">
        <v>9.6527777777777768E-2</v>
      </c>
      <c r="C142" t="s">
        <v>650</v>
      </c>
      <c r="D142" t="s">
        <v>609</v>
      </c>
      <c r="E142" t="s">
        <v>586</v>
      </c>
      <c r="F142" s="1">
        <v>2</v>
      </c>
    </row>
    <row r="143" spans="1:6" x14ac:dyDescent="0.3">
      <c r="A143" s="2">
        <v>43995</v>
      </c>
      <c r="B143" s="41">
        <v>0.87847222222222221</v>
      </c>
      <c r="C143" t="s">
        <v>649</v>
      </c>
      <c r="D143" t="s">
        <v>596</v>
      </c>
      <c r="E143" t="s">
        <v>591</v>
      </c>
      <c r="F143" s="1">
        <v>1</v>
      </c>
    </row>
    <row r="144" spans="1:6" x14ac:dyDescent="0.3">
      <c r="A144" s="2">
        <v>43998</v>
      </c>
      <c r="B144" s="41">
        <v>0.92708333333333337</v>
      </c>
      <c r="C144" t="s">
        <v>649</v>
      </c>
      <c r="D144" t="s">
        <v>592</v>
      </c>
      <c r="E144" t="s">
        <v>586</v>
      </c>
      <c r="F144" s="1">
        <v>2</v>
      </c>
    </row>
    <row r="145" spans="1:6" x14ac:dyDescent="0.3">
      <c r="A145" s="2">
        <v>44007</v>
      </c>
      <c r="B145" s="41">
        <v>0.15069444444444444</v>
      </c>
      <c r="C145" t="s">
        <v>649</v>
      </c>
      <c r="D145" t="s">
        <v>587</v>
      </c>
      <c r="E145" t="s">
        <v>591</v>
      </c>
      <c r="F145" s="1">
        <v>1</v>
      </c>
    </row>
    <row r="146" spans="1:6" x14ac:dyDescent="0.3">
      <c r="A146" s="2">
        <v>44007</v>
      </c>
      <c r="B146" s="41">
        <v>0.90763888888888899</v>
      </c>
      <c r="C146" t="s">
        <v>649</v>
      </c>
      <c r="D146" t="s">
        <v>587</v>
      </c>
      <c r="E146" t="s">
        <v>586</v>
      </c>
      <c r="F146" s="1">
        <v>1</v>
      </c>
    </row>
    <row r="147" spans="1:6" x14ac:dyDescent="0.3">
      <c r="A147" s="2">
        <v>44013</v>
      </c>
      <c r="B147" s="41">
        <v>6.5972222222222224E-2</v>
      </c>
      <c r="C147" t="s">
        <v>649</v>
      </c>
      <c r="D147" t="s">
        <v>593</v>
      </c>
      <c r="E147" t="s">
        <v>586</v>
      </c>
      <c r="F147" s="1">
        <v>2</v>
      </c>
    </row>
    <row r="148" spans="1:6" x14ac:dyDescent="0.3">
      <c r="A148" s="2">
        <v>44016</v>
      </c>
      <c r="B148" s="41">
        <v>0.71388888888888891</v>
      </c>
      <c r="C148" t="s">
        <v>651</v>
      </c>
      <c r="D148" t="s">
        <v>587</v>
      </c>
      <c r="E148" t="s">
        <v>607</v>
      </c>
      <c r="F148" s="1">
        <v>1</v>
      </c>
    </row>
    <row r="149" spans="1:6" x14ac:dyDescent="0.3">
      <c r="A149" s="2">
        <v>44021</v>
      </c>
      <c r="B149" s="41">
        <v>0.55555555555555558</v>
      </c>
      <c r="C149" t="s">
        <v>650</v>
      </c>
      <c r="D149" t="s">
        <v>602</v>
      </c>
      <c r="E149" t="s">
        <v>586</v>
      </c>
      <c r="F149" s="1">
        <v>2</v>
      </c>
    </row>
    <row r="150" spans="1:6" x14ac:dyDescent="0.3">
      <c r="A150" s="2">
        <v>44021</v>
      </c>
      <c r="B150" s="41">
        <v>0.92222222222222217</v>
      </c>
      <c r="C150" t="s">
        <v>649</v>
      </c>
      <c r="D150" t="s">
        <v>587</v>
      </c>
      <c r="E150" t="s">
        <v>586</v>
      </c>
      <c r="F150" s="1">
        <v>5</v>
      </c>
    </row>
    <row r="151" spans="1:6" x14ac:dyDescent="0.3">
      <c r="A151" s="2">
        <v>44023</v>
      </c>
      <c r="B151" s="41">
        <v>0.92986111111111114</v>
      </c>
      <c r="C151" t="s">
        <v>649</v>
      </c>
      <c r="D151" t="s">
        <v>596</v>
      </c>
      <c r="E151" t="s">
        <v>591</v>
      </c>
      <c r="F151" s="1">
        <v>1</v>
      </c>
    </row>
    <row r="152" spans="1:6" x14ac:dyDescent="0.3">
      <c r="A152" s="26"/>
      <c r="B152" s="35"/>
    </row>
    <row r="153" spans="1:6" x14ac:dyDescent="0.3">
      <c r="A153" s="26"/>
      <c r="B153" s="35"/>
    </row>
    <row r="154" spans="1:6" x14ac:dyDescent="0.3">
      <c r="A154" s="26"/>
      <c r="B154" s="35"/>
    </row>
    <row r="155" spans="1:6" x14ac:dyDescent="0.3">
      <c r="A155" s="26"/>
      <c r="B155" s="35"/>
    </row>
    <row r="156" spans="1:6" x14ac:dyDescent="0.3">
      <c r="A156" s="26"/>
      <c r="B156" s="35"/>
    </row>
    <row r="157" spans="1:6" x14ac:dyDescent="0.3">
      <c r="A157" s="26"/>
      <c r="B157" s="35"/>
    </row>
    <row r="158" spans="1:6" x14ac:dyDescent="0.3">
      <c r="A158" s="26"/>
      <c r="B158" s="35"/>
    </row>
    <row r="159" spans="1:6" x14ac:dyDescent="0.3">
      <c r="A159" s="26"/>
      <c r="B159" s="35"/>
    </row>
    <row r="160" spans="1:6" x14ac:dyDescent="0.3">
      <c r="A160" s="26"/>
      <c r="B160" s="35"/>
    </row>
    <row r="161" spans="1:2" x14ac:dyDescent="0.3">
      <c r="A161" s="26"/>
      <c r="B161" s="35"/>
    </row>
    <row r="162" spans="1:2" x14ac:dyDescent="0.3">
      <c r="A162" s="26"/>
      <c r="B162" s="35"/>
    </row>
    <row r="163" spans="1:2" x14ac:dyDescent="0.3">
      <c r="A163" s="26"/>
      <c r="B163" s="35"/>
    </row>
    <row r="164" spans="1:2" x14ac:dyDescent="0.3">
      <c r="A164" s="26"/>
      <c r="B164" s="35"/>
    </row>
    <row r="165" spans="1:2" x14ac:dyDescent="0.3">
      <c r="A165" s="26"/>
      <c r="B165" s="35"/>
    </row>
    <row r="166" spans="1:2" x14ac:dyDescent="0.3">
      <c r="A166" s="26"/>
      <c r="B166" s="35"/>
    </row>
    <row r="167" spans="1:2" x14ac:dyDescent="0.3">
      <c r="A167" s="26"/>
      <c r="B167" s="35"/>
    </row>
    <row r="168" spans="1:2" x14ac:dyDescent="0.3">
      <c r="A168" s="26"/>
      <c r="B168" s="35"/>
    </row>
    <row r="169" spans="1:2" x14ac:dyDescent="0.3">
      <c r="A169" s="26"/>
      <c r="B169" s="35"/>
    </row>
    <row r="170" spans="1:2" x14ac:dyDescent="0.3">
      <c r="A170" s="26"/>
      <c r="B170" s="35"/>
    </row>
    <row r="171" spans="1:2" x14ac:dyDescent="0.3">
      <c r="A171" s="26"/>
      <c r="B171" s="35"/>
    </row>
    <row r="172" spans="1:2" x14ac:dyDescent="0.3">
      <c r="A172" s="26"/>
      <c r="B172" s="35"/>
    </row>
    <row r="173" spans="1:2" x14ac:dyDescent="0.3">
      <c r="A173" s="26"/>
      <c r="B173" s="35"/>
    </row>
    <row r="174" spans="1:2" x14ac:dyDescent="0.3">
      <c r="A174" s="26"/>
      <c r="B174" s="35"/>
    </row>
    <row r="175" spans="1:2" x14ac:dyDescent="0.3">
      <c r="A175" s="26"/>
      <c r="B175" s="35"/>
    </row>
    <row r="176" spans="1:2" x14ac:dyDescent="0.3">
      <c r="A176" s="26"/>
      <c r="B176" s="35"/>
    </row>
    <row r="177" spans="1:2" x14ac:dyDescent="0.3">
      <c r="A177" s="26"/>
      <c r="B177" s="35"/>
    </row>
    <row r="178" spans="1:2" x14ac:dyDescent="0.3">
      <c r="A178" s="26"/>
      <c r="B178" s="35"/>
    </row>
  </sheetData>
  <mergeCells count="1">
    <mergeCell ref="A1:F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DDF73-3B56-4629-AF35-EDCBC90A5F3C}">
  <sheetPr>
    <tabColor rgb="FFFF9999"/>
  </sheetPr>
  <dimension ref="A1:C9"/>
  <sheetViews>
    <sheetView tabSelected="1" workbookViewId="0">
      <selection activeCell="Q14" sqref="Q14"/>
    </sheetView>
  </sheetViews>
  <sheetFormatPr defaultRowHeight="14.4" x14ac:dyDescent="0.3"/>
  <cols>
    <col min="2" max="3" width="11.44140625" customWidth="1"/>
  </cols>
  <sheetData>
    <row r="1" spans="1:3" x14ac:dyDescent="0.3">
      <c r="A1" s="36" t="s">
        <v>630</v>
      </c>
      <c r="B1" s="36" t="s">
        <v>631</v>
      </c>
      <c r="C1" s="36" t="s">
        <v>632</v>
      </c>
    </row>
    <row r="2" spans="1:3" x14ac:dyDescent="0.3">
      <c r="A2" s="1" t="s">
        <v>29</v>
      </c>
      <c r="B2" s="37">
        <v>9506</v>
      </c>
      <c r="C2" s="38">
        <v>0.21992020718135369</v>
      </c>
    </row>
    <row r="3" spans="1:3" x14ac:dyDescent="0.3">
      <c r="A3" s="1" t="s">
        <v>30</v>
      </c>
      <c r="B3" s="37">
        <v>8986</v>
      </c>
      <c r="C3" s="38">
        <v>0.22193802981584332</v>
      </c>
    </row>
    <row r="4" spans="1:3" x14ac:dyDescent="0.3">
      <c r="A4" s="1" t="s">
        <v>31</v>
      </c>
      <c r="B4" s="37">
        <v>7241</v>
      </c>
      <c r="C4" s="38">
        <v>0.21524825902143438</v>
      </c>
    </row>
    <row r="5" spans="1:3" x14ac:dyDescent="0.3">
      <c r="A5" s="1" t="s">
        <v>32</v>
      </c>
      <c r="B5" s="37">
        <v>2598</v>
      </c>
      <c r="C5" s="38">
        <v>0.24562682215743439</v>
      </c>
    </row>
    <row r="6" spans="1:3" x14ac:dyDescent="0.3">
      <c r="A6" s="1" t="s">
        <v>33</v>
      </c>
      <c r="B6" s="37">
        <v>3953</v>
      </c>
      <c r="C6" s="38">
        <v>0.30476500243942106</v>
      </c>
    </row>
    <row r="7" spans="1:3" x14ac:dyDescent="0.3">
      <c r="A7" s="1" t="s">
        <v>34</v>
      </c>
      <c r="B7" s="37">
        <v>5012</v>
      </c>
      <c r="C7" s="38">
        <v>0.35596113445378152</v>
      </c>
    </row>
    <row r="8" spans="1:3" x14ac:dyDescent="0.3">
      <c r="A8" s="1" t="s">
        <v>35</v>
      </c>
      <c r="B8" s="37">
        <v>6128</v>
      </c>
      <c r="C8" s="38">
        <v>0.34731707317073168</v>
      </c>
    </row>
    <row r="9" spans="1:3" x14ac:dyDescent="0.3">
      <c r="A9" s="1" t="s">
        <v>36</v>
      </c>
      <c r="B9" s="37">
        <v>5716</v>
      </c>
      <c r="C9" s="38">
        <v>0.35006287870126901</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E92F0-00A3-41D8-9502-114F6FB9A631}">
  <sheetPr>
    <tabColor rgb="FFFF9999"/>
  </sheetPr>
  <dimension ref="A3:B22"/>
  <sheetViews>
    <sheetView workbookViewId="0">
      <selection activeCell="B4" sqref="B4"/>
    </sheetView>
  </sheetViews>
  <sheetFormatPr defaultRowHeight="14.4" x14ac:dyDescent="0.3"/>
  <cols>
    <col min="1" max="1" width="45.77734375" bestFit="1" customWidth="1"/>
    <col min="2" max="2" width="24.5546875" bestFit="1" customWidth="1"/>
  </cols>
  <sheetData>
    <row r="3" spans="1:2" x14ac:dyDescent="0.3">
      <c r="A3" s="11" t="s">
        <v>583</v>
      </c>
      <c r="B3" t="s">
        <v>625</v>
      </c>
    </row>
    <row r="4" spans="1:2" x14ac:dyDescent="0.3">
      <c r="A4" t="s">
        <v>587</v>
      </c>
      <c r="B4" s="51">
        <v>0.5178571428571429</v>
      </c>
    </row>
    <row r="5" spans="1:2" x14ac:dyDescent="0.3">
      <c r="A5" t="s">
        <v>609</v>
      </c>
      <c r="B5" s="51">
        <v>0.14285714285714285</v>
      </c>
    </row>
    <row r="6" spans="1:2" x14ac:dyDescent="0.3">
      <c r="A6" t="s">
        <v>593</v>
      </c>
      <c r="B6" s="51">
        <v>8.9285714285714288E-2</v>
      </c>
    </row>
    <row r="7" spans="1:2" x14ac:dyDescent="0.3">
      <c r="A7" t="s">
        <v>596</v>
      </c>
      <c r="B7" s="51">
        <v>7.1428571428571425E-2</v>
      </c>
    </row>
    <row r="8" spans="1:2" x14ac:dyDescent="0.3">
      <c r="A8" t="s">
        <v>592</v>
      </c>
      <c r="B8" s="51">
        <v>5.3571428571428568E-2</v>
      </c>
    </row>
    <row r="9" spans="1:2" x14ac:dyDescent="0.3">
      <c r="A9" t="s">
        <v>602</v>
      </c>
      <c r="B9" s="51">
        <v>3.5714285714285712E-2</v>
      </c>
    </row>
    <row r="10" spans="1:2" x14ac:dyDescent="0.3">
      <c r="A10" t="s">
        <v>617</v>
      </c>
      <c r="B10" s="51">
        <v>3.5714285714285712E-2</v>
      </c>
    </row>
    <row r="11" spans="1:2" x14ac:dyDescent="0.3">
      <c r="A11" t="s">
        <v>611</v>
      </c>
      <c r="B11" s="51">
        <v>1.7857142857142856E-2</v>
      </c>
    </row>
    <row r="12" spans="1:2" x14ac:dyDescent="0.3">
      <c r="A12" t="s">
        <v>616</v>
      </c>
      <c r="B12" s="51">
        <v>1.7857142857142856E-2</v>
      </c>
    </row>
    <row r="13" spans="1:2" x14ac:dyDescent="0.3">
      <c r="A13" t="s">
        <v>595</v>
      </c>
      <c r="B13" s="51">
        <v>1.7857142857142856E-2</v>
      </c>
    </row>
    <row r="14" spans="1:2" x14ac:dyDescent="0.3">
      <c r="A14" t="s">
        <v>588</v>
      </c>
      <c r="B14" s="51">
        <v>0</v>
      </c>
    </row>
    <row r="15" spans="1:2" x14ac:dyDescent="0.3">
      <c r="A15" t="s">
        <v>606</v>
      </c>
      <c r="B15" s="51">
        <v>0</v>
      </c>
    </row>
    <row r="16" spans="1:2" x14ac:dyDescent="0.3">
      <c r="A16" t="s">
        <v>599</v>
      </c>
      <c r="B16" s="51">
        <v>0</v>
      </c>
    </row>
    <row r="17" spans="1:2" x14ac:dyDescent="0.3">
      <c r="A17" t="s">
        <v>604</v>
      </c>
      <c r="B17" s="51">
        <v>0</v>
      </c>
    </row>
    <row r="18" spans="1:2" x14ac:dyDescent="0.3">
      <c r="A18" t="s">
        <v>585</v>
      </c>
      <c r="B18" s="51">
        <v>0</v>
      </c>
    </row>
    <row r="19" spans="1:2" x14ac:dyDescent="0.3">
      <c r="A19" t="s">
        <v>619</v>
      </c>
      <c r="B19" s="51">
        <v>0</v>
      </c>
    </row>
    <row r="20" spans="1:2" x14ac:dyDescent="0.3">
      <c r="A20" t="s">
        <v>613</v>
      </c>
      <c r="B20" s="51">
        <v>0</v>
      </c>
    </row>
    <row r="21" spans="1:2" x14ac:dyDescent="0.3">
      <c r="A21" t="s">
        <v>627</v>
      </c>
      <c r="B21" s="51">
        <v>0</v>
      </c>
    </row>
    <row r="22" spans="1:2" x14ac:dyDescent="0.3">
      <c r="A22" t="s">
        <v>28</v>
      </c>
      <c r="B22" s="5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PROJECT 1</vt:lpstr>
      <vt:lpstr>Orders</vt:lpstr>
      <vt:lpstr>Products</vt:lpstr>
      <vt:lpstr>Countries</vt:lpstr>
      <vt:lpstr>Warehouse Extension</vt:lpstr>
      <vt:lpstr>Summary Chart</vt:lpstr>
      <vt:lpstr>PROJECT 2</vt:lpstr>
      <vt:lpstr>Team Selector</vt:lpstr>
      <vt:lpstr>Beer Prices</vt:lpstr>
      <vt:lpstr>Price per Ounce</vt:lpstr>
      <vt:lpstr>PROJECT 3</vt:lpstr>
      <vt:lpstr>Indicators</vt:lpstr>
      <vt:lpstr>Region Summary</vt:lpstr>
      <vt:lpstr>PROJECT 4</vt:lpstr>
      <vt:lpstr>Inventory</vt:lpstr>
      <vt:lpstr>Order Tracker</vt:lpstr>
      <vt:lpstr>PROJECT 5</vt:lpstr>
      <vt:lpstr>Product Sales</vt:lpstr>
      <vt:lpstr>Sales by Store</vt:lpstr>
      <vt:lpstr>New Product</vt:lpstr>
      <vt:lpstr>PROJECT 6</vt:lpstr>
      <vt:lpstr>Van Collisions</vt:lpstr>
      <vt:lpstr>Taxi Collisions</vt:lpstr>
      <vt:lpstr>Monthly Trend</vt:lpstr>
      <vt:lpstr>Collision Causes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RAVINA MODI</cp:lastModifiedBy>
  <dcterms:created xsi:type="dcterms:W3CDTF">2020-10-07T16:28:27Z</dcterms:created>
  <dcterms:modified xsi:type="dcterms:W3CDTF">2026-02-11T12:12:18Z</dcterms:modified>
</cp:coreProperties>
</file>